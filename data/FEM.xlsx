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CE618EC-55D1-4F05-81DB-D10DC927948C}" xr6:coauthVersionLast="47" xr6:coauthVersionMax="47" xr10:uidLastSave="{00000000-0000-0000-0000-000000000000}"/>
  <workbookProtection workbookAlgorithmName="SHA-512" workbookHashValue="BXf0PrrWmtEEwPj8JzeFeYA1EG+9e3NbDvsnraWIGWWOJ8DvI7h4FIoUvMXmvqq1p5NcHbR0Ww4s3jjGT7hQlQ==" workbookSaltValue="luX50a+dg7ILhaQqzrMPPg==" workbookSpinCount="100000" lockStructure="1"/>
  <bookViews>
    <workbookView xWindow="0" yWindow="300" windowWidth="19420" windowHeight="10420" tabRatio="691" firstSheet="3" activeTab="8" xr2:uid="{00000000-000D-0000-FFFF-FFFF00000000}"/>
  </bookViews>
  <sheets>
    <sheet name="Исходные данные" sheetId="1" r:id="rId1"/>
    <sheet name="Горный календарь" sheetId="10" r:id="rId2"/>
    <sheet name="CAPEX" sheetId="2" r:id="rId3"/>
    <sheet name="Выручка" sheetId="4" r:id="rId4"/>
    <sheet name="OPEX" sheetId="3" r:id="rId5"/>
    <sheet name="Налоги" sheetId="5" r:id="rId6"/>
    <sheet name="Cash Flow" sheetId="7" r:id="rId7"/>
    <sheet name="Финансирование" sheetId="6" r:id="rId8"/>
    <sheet name="Эфф-ть проекта" sheetId="9" r:id="rId9"/>
    <sheet name="Анализ чув-ти" sheetId="8" r:id="rId10"/>
    <sheet name="Лист1" sheetId="11" r:id="rId11"/>
  </sheets>
  <definedNames>
    <definedName name="_xlnm._FilterDatabase" localSheetId="0" hidden="1">'Исходные данные'!$H$7:$L$9</definedName>
    <definedName name="курс">'Исходные данные'!$H$27:$V$27</definedName>
    <definedName name="период">'Исходные данные'!$H$2:$V$2</definedName>
    <definedName name="период_знач">'Исходные данные'!$H$3:$V$3</definedName>
    <definedName name="период_календ">'Исходные данные'!$H$3:$R$3</definedName>
  </definedNames>
  <calcPr calcId="191029" iterate="1"/>
</workbook>
</file>

<file path=xl/calcChain.xml><?xml version="1.0" encoding="utf-8"?>
<calcChain xmlns="http://schemas.openxmlformats.org/spreadsheetml/2006/main">
  <c r="H8" i="4" l="1"/>
  <c r="V2" i="11"/>
  <c r="I2" i="11"/>
  <c r="J2" i="11"/>
  <c r="K2" i="11"/>
  <c r="L2" i="11"/>
  <c r="M2" i="11"/>
  <c r="N2" i="11"/>
  <c r="O2" i="11"/>
  <c r="P2" i="11"/>
  <c r="Q2" i="11"/>
  <c r="R2" i="11"/>
  <c r="S2" i="11"/>
  <c r="T2" i="11"/>
  <c r="U2" i="11"/>
  <c r="H2" i="11"/>
  <c r="H28" i="1"/>
  <c r="H7" i="6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H3" i="5"/>
  <c r="I3" i="7" l="1"/>
  <c r="J3" i="7"/>
  <c r="K3" i="7"/>
  <c r="L3" i="7"/>
  <c r="M3" i="7"/>
  <c r="N3" i="7"/>
  <c r="O3" i="7"/>
  <c r="P3" i="7"/>
  <c r="Q3" i="7"/>
  <c r="R3" i="7"/>
  <c r="S3" i="7"/>
  <c r="T3" i="7"/>
  <c r="U3" i="7"/>
  <c r="V3" i="7"/>
  <c r="H3" i="7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H3" i="3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H3" i="4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H3" i="2"/>
  <c r="I3" i="10"/>
  <c r="J3" i="10"/>
  <c r="K3" i="10"/>
  <c r="L3" i="10"/>
  <c r="M3" i="10"/>
  <c r="N3" i="10"/>
  <c r="O3" i="10"/>
  <c r="P3" i="10"/>
  <c r="Q3" i="10"/>
  <c r="R3" i="10"/>
  <c r="S3" i="10"/>
  <c r="T3" i="10"/>
  <c r="U3" i="10"/>
  <c r="V3" i="10"/>
  <c r="H3" i="10"/>
  <c r="H9" i="4" l="1"/>
  <c r="H7" i="4"/>
  <c r="L9" i="1"/>
  <c r="H49" i="1" l="1"/>
  <c r="H81" i="1"/>
  <c r="H7" i="3"/>
  <c r="H49" i="3" l="1"/>
  <c r="H29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40" i="1"/>
  <c r="H13" i="3" s="1"/>
  <c r="H39" i="1"/>
  <c r="H12" i="3" s="1"/>
  <c r="H38" i="1"/>
  <c r="H37" i="1"/>
  <c r="H36" i="1"/>
  <c r="H35" i="1"/>
  <c r="H17" i="3" s="1"/>
  <c r="B11" i="8"/>
  <c r="G7" i="9" l="1"/>
  <c r="I7" i="6" l="1"/>
  <c r="J7" i="6"/>
  <c r="K7" i="6"/>
  <c r="L7" i="6"/>
  <c r="M7" i="6"/>
  <c r="N7" i="6"/>
  <c r="O7" i="6"/>
  <c r="P7" i="6"/>
  <c r="Q7" i="6"/>
  <c r="R7" i="6"/>
  <c r="S7" i="6"/>
  <c r="T7" i="6"/>
  <c r="U7" i="6"/>
  <c r="V7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H8" i="6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H11" i="4"/>
  <c r="H16" i="4" s="1"/>
  <c r="H10" i="4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H36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H25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H20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H19" i="3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V2" i="8"/>
  <c r="U2" i="8"/>
  <c r="T2" i="8"/>
  <c r="S2" i="8"/>
  <c r="R2" i="8"/>
  <c r="Q2" i="8"/>
  <c r="P2" i="8"/>
  <c r="O2" i="8"/>
  <c r="N2" i="8"/>
  <c r="M2" i="8"/>
  <c r="L2" i="8"/>
  <c r="K2" i="8"/>
  <c r="J2" i="8"/>
  <c r="I2" i="8"/>
  <c r="H2" i="8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V2" i="9"/>
  <c r="V8" i="9" s="1"/>
  <c r="U2" i="9"/>
  <c r="U8" i="9" s="1"/>
  <c r="T2" i="9"/>
  <c r="T8" i="9" s="1"/>
  <c r="S2" i="9"/>
  <c r="S8" i="9" s="1"/>
  <c r="R2" i="9"/>
  <c r="R8" i="9" s="1"/>
  <c r="Q2" i="9"/>
  <c r="Q8" i="9" s="1"/>
  <c r="P2" i="9"/>
  <c r="P8" i="9" s="1"/>
  <c r="O2" i="9"/>
  <c r="O8" i="9" s="1"/>
  <c r="N2" i="9"/>
  <c r="N8" i="9" s="1"/>
  <c r="M2" i="9"/>
  <c r="M8" i="9" s="1"/>
  <c r="L2" i="9"/>
  <c r="L8" i="9" s="1"/>
  <c r="K2" i="9"/>
  <c r="K8" i="9" s="1"/>
  <c r="J2" i="9"/>
  <c r="J8" i="9" s="1"/>
  <c r="I2" i="9"/>
  <c r="I8" i="9" s="1"/>
  <c r="H2" i="9"/>
  <c r="H8" i="9" s="1"/>
  <c r="V2" i="7"/>
  <c r="U2" i="7"/>
  <c r="T2" i="7"/>
  <c r="S2" i="7"/>
  <c r="R2" i="7"/>
  <c r="Q2" i="7"/>
  <c r="P2" i="7"/>
  <c r="O2" i="7"/>
  <c r="N2" i="7"/>
  <c r="M2" i="7"/>
  <c r="L2" i="7"/>
  <c r="K2" i="7"/>
  <c r="J2" i="7"/>
  <c r="I2" i="7"/>
  <c r="H2" i="7"/>
  <c r="V3" i="6"/>
  <c r="U3" i="6"/>
  <c r="T3" i="6"/>
  <c r="S3" i="6"/>
  <c r="R3" i="6"/>
  <c r="Q3" i="6"/>
  <c r="P3" i="6"/>
  <c r="O3" i="6"/>
  <c r="N3" i="6"/>
  <c r="M3" i="6"/>
  <c r="L3" i="6"/>
  <c r="K3" i="6"/>
  <c r="J3" i="6"/>
  <c r="I3" i="6"/>
  <c r="H3" i="6"/>
  <c r="V2" i="6"/>
  <c r="U2" i="6"/>
  <c r="T2" i="6"/>
  <c r="S2" i="6"/>
  <c r="R2" i="6"/>
  <c r="Q2" i="6"/>
  <c r="P2" i="6"/>
  <c r="O2" i="6"/>
  <c r="N2" i="6"/>
  <c r="M2" i="6"/>
  <c r="L2" i="6"/>
  <c r="K2" i="6"/>
  <c r="J2" i="6"/>
  <c r="I2" i="6"/>
  <c r="H2" i="6"/>
  <c r="V2" i="5"/>
  <c r="U2" i="5"/>
  <c r="T2" i="5"/>
  <c r="S2" i="5"/>
  <c r="R2" i="5"/>
  <c r="Q2" i="5"/>
  <c r="P2" i="5"/>
  <c r="O2" i="5"/>
  <c r="N2" i="5"/>
  <c r="M2" i="5"/>
  <c r="L2" i="5"/>
  <c r="K2" i="5"/>
  <c r="J2" i="5"/>
  <c r="I2" i="5"/>
  <c r="H2" i="5"/>
  <c r="V2" i="4"/>
  <c r="U2" i="4"/>
  <c r="T2" i="4"/>
  <c r="S2" i="4"/>
  <c r="R2" i="4"/>
  <c r="Q2" i="4"/>
  <c r="P2" i="4"/>
  <c r="O2" i="4"/>
  <c r="N2" i="4"/>
  <c r="M2" i="4"/>
  <c r="L2" i="4"/>
  <c r="K2" i="4"/>
  <c r="J2" i="4"/>
  <c r="I2" i="4"/>
  <c r="H2" i="4"/>
  <c r="V2" i="3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I2" i="10"/>
  <c r="J2" i="10"/>
  <c r="K2" i="10"/>
  <c r="L2" i="10"/>
  <c r="M2" i="10"/>
  <c r="N2" i="10"/>
  <c r="O2" i="10"/>
  <c r="P2" i="10"/>
  <c r="Q2" i="10"/>
  <c r="R2" i="10"/>
  <c r="S2" i="10"/>
  <c r="T2" i="10"/>
  <c r="U2" i="10"/>
  <c r="V2" i="10"/>
  <c r="H2" i="10"/>
  <c r="I7" i="3"/>
  <c r="J7" i="3"/>
  <c r="J13" i="3" s="1"/>
  <c r="K7" i="3"/>
  <c r="K12" i="3" s="1"/>
  <c r="L7" i="3"/>
  <c r="L13" i="3" s="1"/>
  <c r="M7" i="3"/>
  <c r="M12" i="3" s="1"/>
  <c r="N7" i="3"/>
  <c r="N13" i="3" s="1"/>
  <c r="O7" i="3"/>
  <c r="O12" i="3" s="1"/>
  <c r="P7" i="3"/>
  <c r="P13" i="3" s="1"/>
  <c r="Q7" i="3"/>
  <c r="Q12" i="3" s="1"/>
  <c r="R7" i="3"/>
  <c r="R13" i="3" s="1"/>
  <c r="S7" i="3"/>
  <c r="S12" i="3" s="1"/>
  <c r="T7" i="3"/>
  <c r="T13" i="3" s="1"/>
  <c r="U7" i="3"/>
  <c r="U12" i="3" s="1"/>
  <c r="V7" i="3"/>
  <c r="V13" i="3" s="1"/>
  <c r="H8" i="2"/>
  <c r="I7" i="2"/>
  <c r="I16" i="2" s="1"/>
  <c r="J7" i="2"/>
  <c r="J13" i="2" s="1"/>
  <c r="K7" i="2"/>
  <c r="K16" i="2" s="1"/>
  <c r="L7" i="2"/>
  <c r="L13" i="2" s="1"/>
  <c r="M7" i="2"/>
  <c r="M16" i="2" s="1"/>
  <c r="N7" i="2"/>
  <c r="N13" i="2" s="1"/>
  <c r="O7" i="2"/>
  <c r="O16" i="2" s="1"/>
  <c r="P7" i="2"/>
  <c r="P13" i="2" s="1"/>
  <c r="Q7" i="2"/>
  <c r="Q16" i="2" s="1"/>
  <c r="R7" i="2"/>
  <c r="R13" i="2" s="1"/>
  <c r="S7" i="2"/>
  <c r="S16" i="2" s="1"/>
  <c r="T7" i="2"/>
  <c r="T13" i="2" s="1"/>
  <c r="U7" i="2"/>
  <c r="U16" i="2" s="1"/>
  <c r="V7" i="2"/>
  <c r="V13" i="2" s="1"/>
  <c r="H7" i="2"/>
  <c r="H16" i="2" s="1"/>
  <c r="H15" i="4" l="1"/>
  <c r="H26" i="3"/>
  <c r="H37" i="3"/>
  <c r="H50" i="3"/>
  <c r="I12" i="3"/>
  <c r="I49" i="3"/>
  <c r="I50" i="3" s="1"/>
  <c r="V15" i="4"/>
  <c r="T15" i="4"/>
  <c r="R15" i="4"/>
  <c r="P15" i="4"/>
  <c r="N15" i="4"/>
  <c r="L15" i="4"/>
  <c r="J15" i="4"/>
  <c r="U15" i="4"/>
  <c r="S15" i="4"/>
  <c r="Q15" i="4"/>
  <c r="O15" i="4"/>
  <c r="M15" i="4"/>
  <c r="K15" i="4"/>
  <c r="I15" i="4"/>
  <c r="U16" i="4"/>
  <c r="S16" i="4"/>
  <c r="Q16" i="4"/>
  <c r="O16" i="4"/>
  <c r="M16" i="4"/>
  <c r="K16" i="4"/>
  <c r="I16" i="4"/>
  <c r="V16" i="4"/>
  <c r="T16" i="4"/>
  <c r="R16" i="4"/>
  <c r="P16" i="4"/>
  <c r="N16" i="4"/>
  <c r="L16" i="4"/>
  <c r="J16" i="4"/>
  <c r="V27" i="3"/>
  <c r="T27" i="3"/>
  <c r="R27" i="3"/>
  <c r="P27" i="3"/>
  <c r="N27" i="3"/>
  <c r="L27" i="3"/>
  <c r="J27" i="3"/>
  <c r="V26" i="3"/>
  <c r="T26" i="3"/>
  <c r="R26" i="3"/>
  <c r="P26" i="3"/>
  <c r="N26" i="3"/>
  <c r="L26" i="3"/>
  <c r="J26" i="3"/>
  <c r="V37" i="3"/>
  <c r="T37" i="3"/>
  <c r="R37" i="3"/>
  <c r="P37" i="3"/>
  <c r="N37" i="3"/>
  <c r="L37" i="3"/>
  <c r="J37" i="3"/>
  <c r="H27" i="3"/>
  <c r="U27" i="3"/>
  <c r="S27" i="3"/>
  <c r="Q27" i="3"/>
  <c r="O27" i="3"/>
  <c r="M27" i="3"/>
  <c r="K27" i="3"/>
  <c r="I27" i="3"/>
  <c r="U26" i="3"/>
  <c r="S26" i="3"/>
  <c r="Q26" i="3"/>
  <c r="O26" i="3"/>
  <c r="M26" i="3"/>
  <c r="K26" i="3"/>
  <c r="I26" i="3"/>
  <c r="U37" i="3"/>
  <c r="S37" i="3"/>
  <c r="Q37" i="3"/>
  <c r="O37" i="3"/>
  <c r="M37" i="3"/>
  <c r="K37" i="3"/>
  <c r="I37" i="3"/>
  <c r="V12" i="3"/>
  <c r="T12" i="3"/>
  <c r="R12" i="3"/>
  <c r="P12" i="3"/>
  <c r="N12" i="3"/>
  <c r="L12" i="3"/>
  <c r="J12" i="3"/>
  <c r="U13" i="3"/>
  <c r="S13" i="3"/>
  <c r="Q13" i="3"/>
  <c r="O13" i="3"/>
  <c r="M13" i="3"/>
  <c r="K13" i="3"/>
  <c r="I13" i="3"/>
  <c r="H13" i="2"/>
  <c r="U13" i="2"/>
  <c r="U17" i="7" s="1"/>
  <c r="U20" i="7" s="1"/>
  <c r="U10" i="6" s="1"/>
  <c r="S13" i="2"/>
  <c r="S17" i="7" s="1"/>
  <c r="S20" i="7" s="1"/>
  <c r="S10" i="6" s="1"/>
  <c r="Q13" i="2"/>
  <c r="Q17" i="7" s="1"/>
  <c r="Q20" i="7" s="1"/>
  <c r="Q10" i="6" s="1"/>
  <c r="O13" i="2"/>
  <c r="O17" i="7" s="1"/>
  <c r="O20" i="7" s="1"/>
  <c r="O10" i="6" s="1"/>
  <c r="M13" i="2"/>
  <c r="M17" i="7" s="1"/>
  <c r="M20" i="7" s="1"/>
  <c r="M10" i="6" s="1"/>
  <c r="K13" i="2"/>
  <c r="K17" i="7" s="1"/>
  <c r="K20" i="7" s="1"/>
  <c r="K10" i="6" s="1"/>
  <c r="I13" i="2"/>
  <c r="V16" i="2"/>
  <c r="V17" i="7" s="1"/>
  <c r="V20" i="7" s="1"/>
  <c r="V10" i="6" s="1"/>
  <c r="T16" i="2"/>
  <c r="T17" i="7" s="1"/>
  <c r="T20" i="7" s="1"/>
  <c r="T10" i="6" s="1"/>
  <c r="R16" i="2"/>
  <c r="R17" i="7" s="1"/>
  <c r="R20" i="7" s="1"/>
  <c r="R10" i="6" s="1"/>
  <c r="P16" i="2"/>
  <c r="P17" i="7" s="1"/>
  <c r="P20" i="7" s="1"/>
  <c r="P10" i="6" s="1"/>
  <c r="N16" i="2"/>
  <c r="N17" i="7" s="1"/>
  <c r="N20" i="7" s="1"/>
  <c r="N10" i="6" s="1"/>
  <c r="L16" i="2"/>
  <c r="L17" i="7" s="1"/>
  <c r="L20" i="7" s="1"/>
  <c r="L10" i="6" s="1"/>
  <c r="J16" i="2"/>
  <c r="J17" i="7" s="1"/>
  <c r="J20" i="7" s="1"/>
  <c r="J10" i="6" s="1"/>
  <c r="H17" i="7" l="1"/>
  <c r="H20" i="7" s="1"/>
  <c r="H14" i="9" s="1"/>
  <c r="H14" i="5"/>
  <c r="H16" i="5" s="1"/>
  <c r="H18" i="5" s="1"/>
  <c r="H8" i="3"/>
  <c r="H21" i="3" s="1"/>
  <c r="H11" i="7"/>
  <c r="T14" i="9"/>
  <c r="P14" i="9"/>
  <c r="L14" i="9"/>
  <c r="U14" i="9"/>
  <c r="Q14" i="9"/>
  <c r="M14" i="9"/>
  <c r="V14" i="9"/>
  <c r="R14" i="9"/>
  <c r="N14" i="9"/>
  <c r="J14" i="9"/>
  <c r="S14" i="9"/>
  <c r="O14" i="9"/>
  <c r="K14" i="9"/>
  <c r="H38" i="3"/>
  <c r="J81" i="1"/>
  <c r="J38" i="3" s="1"/>
  <c r="J45" i="3" s="1"/>
  <c r="I81" i="1"/>
  <c r="I38" i="3" s="1"/>
  <c r="I44" i="3" s="1"/>
  <c r="L8" i="2"/>
  <c r="L81" i="1"/>
  <c r="L38" i="3" s="1"/>
  <c r="L45" i="3" s="1"/>
  <c r="N81" i="1"/>
  <c r="N38" i="3" s="1"/>
  <c r="N45" i="3" s="1"/>
  <c r="P81" i="1"/>
  <c r="P38" i="3" s="1"/>
  <c r="P45" i="3" s="1"/>
  <c r="R81" i="1"/>
  <c r="R38" i="3" s="1"/>
  <c r="R45" i="3" s="1"/>
  <c r="T81" i="1"/>
  <c r="T38" i="3" s="1"/>
  <c r="T45" i="3" s="1"/>
  <c r="V81" i="1"/>
  <c r="V38" i="3" s="1"/>
  <c r="V45" i="3" s="1"/>
  <c r="Q81" i="1"/>
  <c r="Q38" i="3" s="1"/>
  <c r="Q45" i="3" s="1"/>
  <c r="K81" i="1"/>
  <c r="K38" i="3" s="1"/>
  <c r="K45" i="3" s="1"/>
  <c r="M81" i="1"/>
  <c r="M38" i="3" s="1"/>
  <c r="M45" i="3" s="1"/>
  <c r="O81" i="1"/>
  <c r="O38" i="3" s="1"/>
  <c r="O45" i="3" s="1"/>
  <c r="S81" i="1"/>
  <c r="S38" i="3" s="1"/>
  <c r="S45" i="3" s="1"/>
  <c r="U81" i="1"/>
  <c r="U38" i="3" s="1"/>
  <c r="U45" i="3" s="1"/>
  <c r="J49" i="1"/>
  <c r="J17" i="3" s="1"/>
  <c r="L49" i="1"/>
  <c r="L17" i="3" s="1"/>
  <c r="N49" i="1"/>
  <c r="N17" i="3" s="1"/>
  <c r="P49" i="1"/>
  <c r="P17" i="3" s="1"/>
  <c r="R49" i="1"/>
  <c r="R17" i="3" s="1"/>
  <c r="T49" i="1"/>
  <c r="T17" i="3" s="1"/>
  <c r="V49" i="1"/>
  <c r="V17" i="3" s="1"/>
  <c r="J50" i="1"/>
  <c r="J18" i="3" s="1"/>
  <c r="L50" i="1"/>
  <c r="L18" i="3" s="1"/>
  <c r="N50" i="1"/>
  <c r="N18" i="3" s="1"/>
  <c r="P50" i="1"/>
  <c r="P18" i="3" s="1"/>
  <c r="R50" i="1"/>
  <c r="R18" i="3" s="1"/>
  <c r="T50" i="1"/>
  <c r="T18" i="3" s="1"/>
  <c r="V50" i="1"/>
  <c r="V18" i="3" s="1"/>
  <c r="I50" i="1"/>
  <c r="I18" i="3" s="1"/>
  <c r="M50" i="1"/>
  <c r="M18" i="3" s="1"/>
  <c r="Q50" i="1"/>
  <c r="Q18" i="3" s="1"/>
  <c r="U50" i="1"/>
  <c r="U18" i="3" s="1"/>
  <c r="I49" i="1"/>
  <c r="I17" i="3" s="1"/>
  <c r="K49" i="1"/>
  <c r="K17" i="3" s="1"/>
  <c r="M49" i="1"/>
  <c r="M17" i="3" s="1"/>
  <c r="O49" i="1"/>
  <c r="O17" i="3" s="1"/>
  <c r="Q49" i="1"/>
  <c r="Q17" i="3" s="1"/>
  <c r="S49" i="1"/>
  <c r="S17" i="3" s="1"/>
  <c r="U49" i="1"/>
  <c r="U17" i="3" s="1"/>
  <c r="K50" i="1"/>
  <c r="K18" i="3" s="1"/>
  <c r="O50" i="1"/>
  <c r="O18" i="3" s="1"/>
  <c r="S50" i="1"/>
  <c r="S18" i="3" s="1"/>
  <c r="H50" i="1"/>
  <c r="H18" i="3" s="1"/>
  <c r="I19" i="2" l="1"/>
  <c r="J14" i="5" s="1"/>
  <c r="H44" i="3"/>
  <c r="H45" i="3"/>
  <c r="H10" i="6"/>
  <c r="J44" i="3"/>
  <c r="T8" i="3"/>
  <c r="T21" i="3" s="1"/>
  <c r="O14" i="5"/>
  <c r="I45" i="3"/>
  <c r="T44" i="3"/>
  <c r="P44" i="3"/>
  <c r="L44" i="3"/>
  <c r="S44" i="3"/>
  <c r="O44" i="3"/>
  <c r="K44" i="3"/>
  <c r="U44" i="3"/>
  <c r="M44" i="3"/>
  <c r="V44" i="3"/>
  <c r="R44" i="3"/>
  <c r="N44" i="3"/>
  <c r="Q44" i="3"/>
  <c r="I31" i="1"/>
  <c r="I18" i="4" s="1"/>
  <c r="I20" i="4" s="1"/>
  <c r="I7" i="5" s="1"/>
  <c r="I8" i="5" s="1"/>
  <c r="J31" i="1"/>
  <c r="K31" i="1"/>
  <c r="K18" i="4" s="1"/>
  <c r="K20" i="4" s="1"/>
  <c r="K7" i="5" s="1"/>
  <c r="K8" i="5" s="1"/>
  <c r="L31" i="1"/>
  <c r="L18" i="4" s="1"/>
  <c r="L20" i="4" s="1"/>
  <c r="L7" i="5" s="1"/>
  <c r="L8" i="5" s="1"/>
  <c r="M31" i="1"/>
  <c r="M18" i="4" s="1"/>
  <c r="M20" i="4" s="1"/>
  <c r="M7" i="5" s="1"/>
  <c r="M8" i="5" s="1"/>
  <c r="N31" i="1"/>
  <c r="N18" i="4" s="1"/>
  <c r="N20" i="4" s="1"/>
  <c r="N7" i="5" s="1"/>
  <c r="N8" i="5" s="1"/>
  <c r="O31" i="1"/>
  <c r="O18" i="4" s="1"/>
  <c r="O20" i="4" s="1"/>
  <c r="O7" i="5" s="1"/>
  <c r="O8" i="5" s="1"/>
  <c r="P31" i="1"/>
  <c r="P18" i="4" s="1"/>
  <c r="P20" i="4" s="1"/>
  <c r="P7" i="5" s="1"/>
  <c r="P8" i="5" s="1"/>
  <c r="Q31" i="1"/>
  <c r="Q18" i="4" s="1"/>
  <c r="Q20" i="4" s="1"/>
  <c r="Q7" i="5" s="1"/>
  <c r="Q8" i="5" s="1"/>
  <c r="R31" i="1"/>
  <c r="R18" i="4" s="1"/>
  <c r="R20" i="4" s="1"/>
  <c r="R7" i="5" s="1"/>
  <c r="R8" i="5" s="1"/>
  <c r="S31" i="1"/>
  <c r="S18" i="4" s="1"/>
  <c r="S20" i="4" s="1"/>
  <c r="S7" i="5" s="1"/>
  <c r="S8" i="5" s="1"/>
  <c r="T31" i="1"/>
  <c r="T18" i="4" s="1"/>
  <c r="T20" i="4" s="1"/>
  <c r="T7" i="5" s="1"/>
  <c r="T8" i="5" s="1"/>
  <c r="U31" i="1"/>
  <c r="U18" i="4" s="1"/>
  <c r="U20" i="4" s="1"/>
  <c r="U7" i="5" s="1"/>
  <c r="U8" i="5" s="1"/>
  <c r="V31" i="1"/>
  <c r="V18" i="4" s="1"/>
  <c r="V20" i="4" s="1"/>
  <c r="V7" i="5" s="1"/>
  <c r="V8" i="5" s="1"/>
  <c r="H31" i="1"/>
  <c r="H18" i="4" s="1"/>
  <c r="H17" i="4"/>
  <c r="H19" i="4" s="1"/>
  <c r="I29" i="1"/>
  <c r="I17" i="4" s="1"/>
  <c r="I19" i="4" s="1"/>
  <c r="J29" i="1"/>
  <c r="J17" i="4" s="1"/>
  <c r="J19" i="4" s="1"/>
  <c r="K29" i="1"/>
  <c r="K17" i="4" s="1"/>
  <c r="K19" i="4" s="1"/>
  <c r="L29" i="1"/>
  <c r="L17" i="4" s="1"/>
  <c r="L19" i="4" s="1"/>
  <c r="M29" i="1"/>
  <c r="M17" i="4" s="1"/>
  <c r="M19" i="4" s="1"/>
  <c r="N29" i="1"/>
  <c r="N17" i="4" s="1"/>
  <c r="N19" i="4" s="1"/>
  <c r="O29" i="1"/>
  <c r="O17" i="4" s="1"/>
  <c r="O19" i="4" s="1"/>
  <c r="P29" i="1"/>
  <c r="P17" i="4" s="1"/>
  <c r="P19" i="4" s="1"/>
  <c r="Q29" i="1"/>
  <c r="Q17" i="4" s="1"/>
  <c r="Q19" i="4" s="1"/>
  <c r="R29" i="1"/>
  <c r="R17" i="4" s="1"/>
  <c r="R19" i="4" s="1"/>
  <c r="S29" i="1"/>
  <c r="S17" i="4" s="1"/>
  <c r="S19" i="4" s="1"/>
  <c r="T29" i="1"/>
  <c r="T17" i="4" s="1"/>
  <c r="T19" i="4" s="1"/>
  <c r="U29" i="1"/>
  <c r="U17" i="4" s="1"/>
  <c r="U19" i="4" s="1"/>
  <c r="V29" i="1"/>
  <c r="V17" i="4" s="1"/>
  <c r="V19" i="4" s="1"/>
  <c r="M8" i="3" l="1"/>
  <c r="M21" i="3" s="1"/>
  <c r="U14" i="5"/>
  <c r="K8" i="3"/>
  <c r="K21" i="3" s="1"/>
  <c r="O8" i="3"/>
  <c r="O21" i="3" s="1"/>
  <c r="N8" i="3"/>
  <c r="N21" i="3" s="1"/>
  <c r="T14" i="5"/>
  <c r="T16" i="5" s="1"/>
  <c r="T18" i="5" s="1"/>
  <c r="M14" i="5"/>
  <c r="N14" i="5"/>
  <c r="O16" i="5" s="1"/>
  <c r="O18" i="5" s="1"/>
  <c r="I17" i="7"/>
  <c r="I20" i="7" s="1"/>
  <c r="I14" i="9" s="1"/>
  <c r="P14" i="5"/>
  <c r="P16" i="5" s="1"/>
  <c r="P18" i="5" s="1"/>
  <c r="R8" i="3"/>
  <c r="R21" i="3" s="1"/>
  <c r="I14" i="5"/>
  <c r="I16" i="5" s="1"/>
  <c r="I18" i="5" s="1"/>
  <c r="S14" i="5"/>
  <c r="Q8" i="3"/>
  <c r="Q21" i="3" s="1"/>
  <c r="U8" i="3"/>
  <c r="U21" i="3" s="1"/>
  <c r="L14" i="5"/>
  <c r="S8" i="3"/>
  <c r="S21" i="3" s="1"/>
  <c r="V8" i="3"/>
  <c r="V21" i="3" s="1"/>
  <c r="L8" i="3"/>
  <c r="L21" i="3" s="1"/>
  <c r="I8" i="3"/>
  <c r="I21" i="3" s="1"/>
  <c r="Q14" i="5"/>
  <c r="R14" i="5"/>
  <c r="V14" i="5"/>
  <c r="V16" i="5" s="1"/>
  <c r="V18" i="5" s="1"/>
  <c r="J8" i="3"/>
  <c r="J21" i="3" s="1"/>
  <c r="K14" i="5"/>
  <c r="K16" i="5" s="1"/>
  <c r="K18" i="5" s="1"/>
  <c r="P8" i="3"/>
  <c r="P21" i="3" s="1"/>
  <c r="J18" i="4"/>
  <c r="J20" i="4" s="1"/>
  <c r="H20" i="4"/>
  <c r="H7" i="5" s="1"/>
  <c r="H8" i="5" s="1"/>
  <c r="H19" i="5"/>
  <c r="I15" i="5" s="1"/>
  <c r="L16" i="5"/>
  <c r="L18" i="5" s="1"/>
  <c r="V9" i="5"/>
  <c r="V10" i="5" s="1"/>
  <c r="V31" i="3"/>
  <c r="V32" i="3"/>
  <c r="V7" i="7"/>
  <c r="R32" i="3"/>
  <c r="R9" i="5"/>
  <c r="R10" i="5" s="1"/>
  <c r="R31" i="3"/>
  <c r="R7" i="7"/>
  <c r="U32" i="3"/>
  <c r="U9" i="5"/>
  <c r="U10" i="5" s="1"/>
  <c r="U7" i="7"/>
  <c r="U31" i="3"/>
  <c r="S7" i="7"/>
  <c r="S31" i="3"/>
  <c r="S32" i="3"/>
  <c r="S9" i="5"/>
  <c r="S10" i="5" s="1"/>
  <c r="Q32" i="3"/>
  <c r="Q9" i="5"/>
  <c r="Q10" i="5" s="1"/>
  <c r="Q7" i="7"/>
  <c r="Q31" i="3"/>
  <c r="O7" i="7"/>
  <c r="O31" i="3"/>
  <c r="O32" i="3"/>
  <c r="O9" i="5"/>
  <c r="O10" i="5" s="1"/>
  <c r="M32" i="3"/>
  <c r="M9" i="5"/>
  <c r="M10" i="5" s="1"/>
  <c r="M7" i="7"/>
  <c r="M31" i="3"/>
  <c r="K7" i="7"/>
  <c r="K31" i="3"/>
  <c r="K32" i="3"/>
  <c r="K9" i="5"/>
  <c r="K10" i="5" s="1"/>
  <c r="I32" i="3"/>
  <c r="I9" i="5"/>
  <c r="I10" i="5" s="1"/>
  <c r="I7" i="7"/>
  <c r="I31" i="3"/>
  <c r="T31" i="3"/>
  <c r="T32" i="3"/>
  <c r="T9" i="5"/>
  <c r="T10" i="5" s="1"/>
  <c r="T7" i="7"/>
  <c r="P31" i="3"/>
  <c r="P32" i="3"/>
  <c r="P9" i="5"/>
  <c r="P10" i="5" s="1"/>
  <c r="P7" i="7"/>
  <c r="N32" i="3"/>
  <c r="N9" i="5"/>
  <c r="N10" i="5" s="1"/>
  <c r="N31" i="3"/>
  <c r="N7" i="7"/>
  <c r="L31" i="3"/>
  <c r="L32" i="3"/>
  <c r="L9" i="5"/>
  <c r="L10" i="5" s="1"/>
  <c r="L7" i="7"/>
  <c r="J9" i="5"/>
  <c r="J10" i="5" s="1"/>
  <c r="H9" i="5"/>
  <c r="H10" i="5" s="1"/>
  <c r="M16" i="5" l="1"/>
  <c r="M18" i="5" s="1"/>
  <c r="R16" i="5"/>
  <c r="R18" i="5" s="1"/>
  <c r="Q16" i="5"/>
  <c r="Q18" i="5" s="1"/>
  <c r="I10" i="6"/>
  <c r="J16" i="5"/>
  <c r="J18" i="5" s="1"/>
  <c r="N16" i="5"/>
  <c r="N18" i="5" s="1"/>
  <c r="S16" i="5"/>
  <c r="S18" i="5" s="1"/>
  <c r="U16" i="5"/>
  <c r="U18" i="5" s="1"/>
  <c r="H7" i="7"/>
  <c r="H32" i="3"/>
  <c r="H31" i="3"/>
  <c r="J7" i="5"/>
  <c r="J8" i="5" s="1"/>
  <c r="J31" i="3"/>
  <c r="J7" i="7"/>
  <c r="J32" i="3"/>
  <c r="H20" i="5"/>
  <c r="H21" i="5" s="1"/>
  <c r="L42" i="3"/>
  <c r="L43" i="3"/>
  <c r="N43" i="3"/>
  <c r="N42" i="3"/>
  <c r="P43" i="3"/>
  <c r="P42" i="3"/>
  <c r="T42" i="3"/>
  <c r="T43" i="3"/>
  <c r="R43" i="3"/>
  <c r="R42" i="3"/>
  <c r="I42" i="3"/>
  <c r="I43" i="3"/>
  <c r="K42" i="3"/>
  <c r="K43" i="3"/>
  <c r="M43" i="3"/>
  <c r="M42" i="3"/>
  <c r="O42" i="3"/>
  <c r="O43" i="3"/>
  <c r="Q43" i="3"/>
  <c r="Q42" i="3"/>
  <c r="S42" i="3"/>
  <c r="S43" i="3"/>
  <c r="U42" i="3"/>
  <c r="U43" i="3"/>
  <c r="V43" i="3"/>
  <c r="V42" i="3"/>
  <c r="V8" i="7" s="1"/>
  <c r="H43" i="3" l="1"/>
  <c r="J42" i="3"/>
  <c r="J8" i="7" s="1"/>
  <c r="H42" i="3"/>
  <c r="H8" i="7" s="1"/>
  <c r="J43" i="3"/>
  <c r="Q49" i="3"/>
  <c r="M49" i="3"/>
  <c r="R49" i="3"/>
  <c r="P49" i="3"/>
  <c r="N49" i="3"/>
  <c r="U49" i="3"/>
  <c r="S49" i="3"/>
  <c r="O49" i="3"/>
  <c r="K49" i="3"/>
  <c r="T49" i="3"/>
  <c r="L49" i="3"/>
  <c r="U8" i="7"/>
  <c r="S8" i="7"/>
  <c r="O8" i="7"/>
  <c r="K8" i="7"/>
  <c r="I8" i="7"/>
  <c r="T8" i="7"/>
  <c r="L8" i="7"/>
  <c r="Q8" i="7"/>
  <c r="M8" i="7"/>
  <c r="R8" i="7"/>
  <c r="P8" i="7"/>
  <c r="N8" i="7"/>
  <c r="H9" i="7"/>
  <c r="I19" i="5"/>
  <c r="J15" i="5" s="1"/>
  <c r="J49" i="3" l="1"/>
  <c r="J50" i="3" s="1"/>
  <c r="J11" i="7" s="1"/>
  <c r="L50" i="3"/>
  <c r="L11" i="7" s="1"/>
  <c r="P50" i="3"/>
  <c r="P11" i="7" s="1"/>
  <c r="T50" i="3"/>
  <c r="T11" i="7" s="1"/>
  <c r="N50" i="3"/>
  <c r="N11" i="7" s="1"/>
  <c r="Q50" i="3"/>
  <c r="Q11" i="7" s="1"/>
  <c r="V50" i="3"/>
  <c r="V11" i="7" s="1"/>
  <c r="U50" i="3"/>
  <c r="U11" i="7" s="1"/>
  <c r="R50" i="3"/>
  <c r="R11" i="7" s="1"/>
  <c r="M50" i="3"/>
  <c r="M11" i="7" s="1"/>
  <c r="O50" i="3"/>
  <c r="O11" i="7" s="1"/>
  <c r="I11" i="7"/>
  <c r="S50" i="3"/>
  <c r="S11" i="7" s="1"/>
  <c r="J19" i="5"/>
  <c r="K15" i="5" s="1"/>
  <c r="I20" i="5"/>
  <c r="K50" i="3" l="1"/>
  <c r="K11" i="7" s="1"/>
  <c r="J20" i="5"/>
  <c r="J21" i="5" s="1"/>
  <c r="I21" i="5"/>
  <c r="K19" i="5"/>
  <c r="L15" i="5" s="1"/>
  <c r="I9" i="7" l="1"/>
  <c r="J9" i="7"/>
  <c r="K20" i="5"/>
  <c r="L19" i="5"/>
  <c r="M15" i="5" s="1"/>
  <c r="K21" i="5" l="1"/>
  <c r="L20" i="5"/>
  <c r="M19" i="5"/>
  <c r="N15" i="5" s="1"/>
  <c r="L21" i="5" l="1"/>
  <c r="K9" i="7"/>
  <c r="M20" i="5"/>
  <c r="N19" i="5"/>
  <c r="O15" i="5" s="1"/>
  <c r="M21" i="5" l="1"/>
  <c r="L9" i="7"/>
  <c r="N20" i="5"/>
  <c r="O19" i="5"/>
  <c r="P15" i="5" s="1"/>
  <c r="N21" i="5" l="1"/>
  <c r="M9" i="7"/>
  <c r="O20" i="5"/>
  <c r="P19" i="5"/>
  <c r="Q15" i="5" s="1"/>
  <c r="P20" i="5" l="1"/>
  <c r="P21" i="5" s="1"/>
  <c r="O21" i="5"/>
  <c r="N9" i="7"/>
  <c r="Q19" i="5"/>
  <c r="R15" i="5" s="1"/>
  <c r="O9" i="7" l="1"/>
  <c r="P9" i="7"/>
  <c r="Q20" i="5"/>
  <c r="R19" i="5"/>
  <c r="S15" i="5" s="1"/>
  <c r="R20" i="5" l="1"/>
  <c r="R21" i="5" s="1"/>
  <c r="Q21" i="5"/>
  <c r="S19" i="5"/>
  <c r="T15" i="5" s="1"/>
  <c r="Q9" i="7" l="1"/>
  <c r="R9" i="7"/>
  <c r="S20" i="5"/>
  <c r="T19" i="5"/>
  <c r="U15" i="5" s="1"/>
  <c r="T20" i="5" l="1"/>
  <c r="T21" i="5" s="1"/>
  <c r="S21" i="5"/>
  <c r="U19" i="5"/>
  <c r="V15" i="5" s="1"/>
  <c r="V19" i="5" s="1"/>
  <c r="V20" i="5" s="1"/>
  <c r="U20" i="5" l="1"/>
  <c r="U21" i="5" s="1"/>
  <c r="S9" i="7"/>
  <c r="V21" i="5"/>
  <c r="T9" i="7"/>
  <c r="U9" i="7" l="1"/>
  <c r="V9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D7" i="8"/>
  <c r="D11" i="8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H23" i="6"/>
  <c r="I23" i="6"/>
  <c r="J23" i="6"/>
  <c r="K23" i="6"/>
  <c r="L23" i="6"/>
  <c r="M23" i="6"/>
  <c r="N23" i="6"/>
  <c r="O23" i="6"/>
  <c r="P23" i="6"/>
  <c r="Q23" i="6"/>
  <c r="R23" i="6"/>
  <c r="S23" i="6"/>
  <c r="T23" i="6"/>
  <c r="U23" i="6"/>
  <c r="V23" i="6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H12" i="9"/>
  <c r="I12" i="9"/>
  <c r="J12" i="9"/>
  <c r="K12" i="9"/>
  <c r="L12" i="9"/>
  <c r="M12" i="9"/>
  <c r="N12" i="9"/>
  <c r="O12" i="9"/>
  <c r="P12" i="9"/>
  <c r="Q12" i="9"/>
  <c r="R12" i="9"/>
  <c r="S12" i="9"/>
  <c r="T12" i="9"/>
  <c r="U12" i="9"/>
  <c r="V12" i="9"/>
  <c r="H13" i="9"/>
  <c r="I13" i="9"/>
  <c r="J13" i="9"/>
  <c r="K13" i="9"/>
  <c r="L13" i="9"/>
  <c r="M13" i="9"/>
  <c r="N13" i="9"/>
  <c r="O13" i="9"/>
  <c r="P13" i="9"/>
  <c r="Q13" i="9"/>
  <c r="R13" i="9"/>
  <c r="S13" i="9"/>
  <c r="T13" i="9"/>
  <c r="U13" i="9"/>
  <c r="V13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H17" i="9"/>
  <c r="H18" i="9"/>
  <c r="H19" i="9"/>
  <c r="H20" i="9"/>
  <c r="H21" i="9"/>
</calcChain>
</file>

<file path=xl/sharedStrings.xml><?xml version="1.0" encoding="utf-8"?>
<sst xmlns="http://schemas.openxmlformats.org/spreadsheetml/2006/main" count="393" uniqueCount="189">
  <si>
    <t>Параметры модели</t>
  </si>
  <si>
    <t>Макроэкономические прогнозы</t>
  </si>
  <si>
    <t>%</t>
  </si>
  <si>
    <t>руб./$</t>
  </si>
  <si>
    <t>Прогнозы налогов, сборов и отчислений</t>
  </si>
  <si>
    <t>Налог на добавленную стоимость (НДС), в том числе:</t>
  </si>
  <si>
    <t xml:space="preserve">   по ставке </t>
  </si>
  <si>
    <t>Налог на имущество</t>
  </si>
  <si>
    <t>Страховые отчисления</t>
  </si>
  <si>
    <t>Налог на прибыль</t>
  </si>
  <si>
    <t>Налог на доходы физических лиц (НДФЛ)</t>
  </si>
  <si>
    <t>Курс национальной валюты к доллару</t>
  </si>
  <si>
    <t>Цена на золото</t>
  </si>
  <si>
    <t>$/Oz</t>
  </si>
  <si>
    <t>руб/грамм</t>
  </si>
  <si>
    <t>Допущения и константы</t>
  </si>
  <si>
    <t>Тройская унция в граммах</t>
  </si>
  <si>
    <t>грамм/Oz</t>
  </si>
  <si>
    <t>Цена на серебро</t>
  </si>
  <si>
    <t>Календарный год</t>
  </si>
  <si>
    <t>Прямые затраты на производство единицы продукции в натуральном выражении</t>
  </si>
  <si>
    <t>Параметры финансовой деятельности</t>
  </si>
  <si>
    <t>Стоимость привлечения финансирования</t>
  </si>
  <si>
    <t>Персонал и ФОТ</t>
  </si>
  <si>
    <t>Административно-управленический персонал</t>
  </si>
  <si>
    <t>Производственный персонал</t>
  </si>
  <si>
    <t>Общепроизводственные расходы в натуральном выражении</t>
  </si>
  <si>
    <t>Коммерческие и управленческие расходы, без НДС</t>
  </si>
  <si>
    <t>Ставка дисконтирования</t>
  </si>
  <si>
    <t>Номер периода</t>
  </si>
  <si>
    <t>Электроэнергия</t>
  </si>
  <si>
    <t>Дизельное топливо</t>
  </si>
  <si>
    <t>Масла и смазки</t>
  </si>
  <si>
    <t>Аммиачная селитра</t>
  </si>
  <si>
    <t>Шары для мельниц</t>
  </si>
  <si>
    <t>Конвейерная лента</t>
  </si>
  <si>
    <t>Цены на ресурсы и материалы, без НДС</t>
  </si>
  <si>
    <t>Административно-хозяйственные расходы</t>
  </si>
  <si>
    <t>Доставка продукции до аффинажного завода</t>
  </si>
  <si>
    <t>Расходы на доставку вахты</t>
  </si>
  <si>
    <t>Стоимость аффинажа</t>
  </si>
  <si>
    <t>Услуги банка при продаже драгоценных металлов</t>
  </si>
  <si>
    <t>Прочие расходы, связанные с деятельностью</t>
  </si>
  <si>
    <t>Добыча</t>
  </si>
  <si>
    <t>Добыча руды</t>
  </si>
  <si>
    <t>Вскрыша</t>
  </si>
  <si>
    <t>Содержание золота в руде</t>
  </si>
  <si>
    <t>Извлечение золота на фабрике</t>
  </si>
  <si>
    <t>Переработка и извлечение</t>
  </si>
  <si>
    <t>тыс. руб./МВатт*ч</t>
  </si>
  <si>
    <t>тыс. руб./т</t>
  </si>
  <si>
    <t>тыс. руб/м2</t>
  </si>
  <si>
    <t>г/т</t>
  </si>
  <si>
    <t>м2/т</t>
  </si>
  <si>
    <t>тыс. руб./год</t>
  </si>
  <si>
    <t>Электроэнергия (вариант 1)</t>
  </si>
  <si>
    <t>Электроэнергия (вариант 2)</t>
  </si>
  <si>
    <t>Электроэнергия (выбранный вариант)</t>
  </si>
  <si>
    <t>Дизельное топливо (вариант 1)</t>
  </si>
  <si>
    <t>Дизельное топливо (вариант 2)</t>
  </si>
  <si>
    <t>Дизельное топливо (выбранный вариант)</t>
  </si>
  <si>
    <t>Сценарий</t>
  </si>
  <si>
    <t>т/год</t>
  </si>
  <si>
    <t>МВатт*ч/год</t>
  </si>
  <si>
    <t>тыс. т.</t>
  </si>
  <si>
    <t>тыс. м3</t>
  </si>
  <si>
    <t>Вспомогательный персонал (вариант 1)</t>
  </si>
  <si>
    <t>Вспомогательный персонал (вариант 2)</t>
  </si>
  <si>
    <t>Вспомогательный персонал  (выбранный вариант)</t>
  </si>
  <si>
    <t>Здания и сооружения</t>
  </si>
  <si>
    <t>Горная техника, в т.ч.</t>
  </si>
  <si>
    <t>Отечественная</t>
  </si>
  <si>
    <t>Импортная</t>
  </si>
  <si>
    <t>Технологическое оборудование, в т.ч.</t>
  </si>
  <si>
    <t>Отечественное</t>
  </si>
  <si>
    <t>Импортное</t>
  </si>
  <si>
    <t>Приобретение прочих основных средств</t>
  </si>
  <si>
    <t>Справочно</t>
  </si>
  <si>
    <t>тыс. руб.</t>
  </si>
  <si>
    <t>Проектирование и защита проекта</t>
  </si>
  <si>
    <t>тыс. $</t>
  </si>
  <si>
    <t>Прямые затраты на производство продукции</t>
  </si>
  <si>
    <t>Коммерческие и управленческие расходы</t>
  </si>
  <si>
    <t>Прочие расходы</t>
  </si>
  <si>
    <t>Оплата труда</t>
  </si>
  <si>
    <t>Всего затрат</t>
  </si>
  <si>
    <t>Перерботка на обогатительной фабрике</t>
  </si>
  <si>
    <t>тыс. тонн</t>
  </si>
  <si>
    <t>Нормируемые оборотные средства</t>
  </si>
  <si>
    <t>Норма оборотных средств</t>
  </si>
  <si>
    <t>Ремонт и обслуживание ОС (% от первоначальной ст-ти)</t>
  </si>
  <si>
    <t>Норма оборотных средств (% от операц. расходов)</t>
  </si>
  <si>
    <t>Налог на добычу полезных ископаемых (НДПИ), в т. ч.:</t>
  </si>
  <si>
    <t>Общепроизводственные расходы</t>
  </si>
  <si>
    <t>Первоначальная стоимость материальных ОС</t>
  </si>
  <si>
    <t>НДС</t>
  </si>
  <si>
    <t>НДФЛ</t>
  </si>
  <si>
    <t>Социальные отчисления</t>
  </si>
  <si>
    <t>Вложения в оборотные средства</t>
  </si>
  <si>
    <t>Изменение оборотных средств</t>
  </si>
  <si>
    <t>Всего операционных затрат</t>
  </si>
  <si>
    <t>Переработка руды</t>
  </si>
  <si>
    <t>Содержание серебра в руде</t>
  </si>
  <si>
    <t>Извлечение серебра на фабрике</t>
  </si>
  <si>
    <t>Продажа драгоценных металлов</t>
  </si>
  <si>
    <t>Всего товарного серебра</t>
  </si>
  <si>
    <t>Всего товарного золота</t>
  </si>
  <si>
    <t>Цена серебра</t>
  </si>
  <si>
    <t>Цена золота</t>
  </si>
  <si>
    <t>Выручка серебро</t>
  </si>
  <si>
    <t>Выручка золото</t>
  </si>
  <si>
    <t>тыс. т</t>
  </si>
  <si>
    <t>НДПИ</t>
  </si>
  <si>
    <t>НДПИ серебро</t>
  </si>
  <si>
    <t>НДПИ золото</t>
  </si>
  <si>
    <t xml:space="preserve">   по ставке (серебро)</t>
  </si>
  <si>
    <t xml:space="preserve">   по ставке (золото)</t>
  </si>
  <si>
    <t>Первоначальная стоимость ОС на конец периода</t>
  </si>
  <si>
    <t>Ввод ОС за период</t>
  </si>
  <si>
    <t>Выбытие ОС за период</t>
  </si>
  <si>
    <t>Амортизация</t>
  </si>
  <si>
    <t>Остаточная стоимость ОС на начало периода</t>
  </si>
  <si>
    <t>Остаточная стоимость ОС на конец периода</t>
  </si>
  <si>
    <t>Среднегодовая стоимость ОС</t>
  </si>
  <si>
    <t>Срок эксплуатации ОС</t>
  </si>
  <si>
    <t>Срок использования вводимых в эксплуатацию ОС</t>
  </si>
  <si>
    <t>лет</t>
  </si>
  <si>
    <t>Операционный денежный поток</t>
  </si>
  <si>
    <t>Инвестиционный денежный поток</t>
  </si>
  <si>
    <t>Финансовый денежный поток</t>
  </si>
  <si>
    <t>Доход предприятия</t>
  </si>
  <si>
    <t>Операционные затраты</t>
  </si>
  <si>
    <t>Налоги и отчисления в себестоимости</t>
  </si>
  <si>
    <t>Итого операционный денежный поток</t>
  </si>
  <si>
    <t>Потребность в оборотных средствах</t>
  </si>
  <si>
    <t>Инвестиционная программа (без НДС)</t>
  </si>
  <si>
    <t>Прибыль/убыток периода</t>
  </si>
  <si>
    <t>Вложения во внеоборотные активы</t>
  </si>
  <si>
    <t>Выбытие ОС</t>
  </si>
  <si>
    <t>Поступление финансирования</t>
  </si>
  <si>
    <t>Выплата процентов по кредитам</t>
  </si>
  <si>
    <t>Итого инвестиционный денежный поток</t>
  </si>
  <si>
    <t>Итого финансовый денежный поток</t>
  </si>
  <si>
    <t>Прибыль/убыток нарастающим итогом</t>
  </si>
  <si>
    <t>Итого денежный поток периода</t>
  </si>
  <si>
    <t>Итого денежный поток</t>
  </si>
  <si>
    <t>Итого денежный поток кумулятивный</t>
  </si>
  <si>
    <t>Доля собственных средств в финансировании</t>
  </si>
  <si>
    <t>Проценты к уплате</t>
  </si>
  <si>
    <t>Итого финансироуемый денежный поток</t>
  </si>
  <si>
    <t>Финансирование за счет собственных средств</t>
  </si>
  <si>
    <t>Финансирование за счет кредита</t>
  </si>
  <si>
    <t>Постуление финансирования</t>
  </si>
  <si>
    <t>Возврат займов</t>
  </si>
  <si>
    <t>Остаток займов на конец периода</t>
  </si>
  <si>
    <t>Остаток кредитов на конец периода</t>
  </si>
  <si>
    <t>Возврат кредитов</t>
  </si>
  <si>
    <t>Погашение тела кредитов и займов</t>
  </si>
  <si>
    <t>Дисконтирование</t>
  </si>
  <si>
    <t>Показатели инвестиционной привлекательности</t>
  </si>
  <si>
    <t>Коэффициент дисконтирования</t>
  </si>
  <si>
    <t>#</t>
  </si>
  <si>
    <t>Чистый денежный поток</t>
  </si>
  <si>
    <t>Чистый денежный поток накопленным итогом</t>
  </si>
  <si>
    <t>Дисконтированный инвестиционный денежный поток</t>
  </si>
  <si>
    <t>Чистый дисконтированный денежный поток</t>
  </si>
  <si>
    <t>Чистый дисконтированный денежный поток накопленным итогом</t>
  </si>
  <si>
    <t>NPV (чистая приведенная стоимость)</t>
  </si>
  <si>
    <t>IRR (внутренняя норма доходности)</t>
  </si>
  <si>
    <t>PI (индекс доходности инвестиций)</t>
  </si>
  <si>
    <t>PB (срок окупаемости)</t>
  </si>
  <si>
    <t>DPB (дисконтированный срок окупаемости)</t>
  </si>
  <si>
    <t>Цены на ресурсы и материалы</t>
  </si>
  <si>
    <t>Значение NPV</t>
  </si>
  <si>
    <t>По формуле возврат займов:</t>
  </si>
  <si>
    <t>Основная предпосылка — возвращаем кредиты
и займы как можно скорее из потока — это эффективнее для акционеров и дешевле с точки
зрения обслуживания кредитов. 
Сначала проверяем, положительный ли у нас в текущем периоде финансируемый
денежный поток — если отрицательный, то возвращать нечем. Далее проверяем, есть ли еще
остаток задолженности по займам — если остатка задолженности нет, то и возвращать нечего.
Соответственно, если у нас и задолженность есть и денежный поток положительный, то мы
что-то вернем акционерам. Что — зависит от размера потока. Проверяем, что меньше —
остаток задолженности перед акционерами или весь поток, умноженный на долю
акционерного капитала в финансировании. Что меньше — ту сумму и возвращаем (мы
не можем вернуть весь долг, если денежный поток не позволяет это сделать и, в то же время,
если поток позволяет вернуть весь остаток задолженности, то нет смысла ее оставлять
и не возвращать).</t>
  </si>
  <si>
    <t>Для начала проверяем, есть ли положительная прибыль накопленным итогом. Если нет,</t>
  </si>
  <si>
    <t>то налога на прибыль также нет. Если нарастающим итогом результат положительный,</t>
  </si>
  <si>
    <t>а в текущем периоде прибыли нет, то снова налога на прибыль нет. Далее, если и в текущем</t>
  </si>
  <si>
    <t>периоде прибыль есть и нарастающим итогом результат положительный, то надо понять, что</t>
  </si>
  <si>
    <t>меньше — прибыль текущего периода или прибыль нарастающим итогом (это зависит от того,</t>
  </si>
  <si>
    <t>был ли положительный результат нарастающим итогом в предыдущем периоде). На то, что</t>
  </si>
  <si>
    <t>меньше, и начисляем налог.</t>
  </si>
  <si>
    <t>По расчету налога:</t>
  </si>
  <si>
    <t>г</t>
  </si>
  <si>
    <t>руб./г</t>
  </si>
  <si>
    <t xml:space="preserve"> руб.</t>
  </si>
  <si>
    <t>руб.</t>
  </si>
  <si>
    <t>Собственная электростанция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</si>
</sst>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Yellow]&quot;Ошибка!&quot;;[Red]&quot;Ошибка!&quot;;[Blue]&quot;Ошибок нет&quot;"/>
    <numFmt numFmtId="165" formatCode="#,##0;[Red]\(#,##0\);\-"/>
    <numFmt numFmtId="166" formatCode="dd\ mmm\ yy"/>
    <numFmt numFmtId="167" formatCode="General&quot;.&quot;"/>
    <numFmt numFmtId="168" formatCode="0.0%"/>
    <numFmt numFmtId="169" formatCode="0.0000"/>
    <numFmt numFmtId="170" formatCode="#,##0.000"/>
  </numFmts>
  <fonts count="10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sz val="11"/>
      <color rgb="FFFF0000"/>
      <name val="Calibri"/>
      <family val="2"/>
      <charset val="204"/>
      <scheme val="minor"/>
    </font>
    <font>
      <b/>
      <sz val="10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0"/>
      <color rgb="FFFFFF00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7" fontId="4" fillId="2" borderId="1" applyAlignment="0" applyProtection="0"/>
    <xf numFmtId="9" fontId="8" fillId="0" borderId="0" applyFont="0" applyFill="0" applyBorder="0" applyAlignment="0" applyProtection="0"/>
  </cellStyleXfs>
  <cellXfs count="4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1" fillId="3" borderId="0" xfId="0" applyFont="1" applyFill="1"/>
    <xf numFmtId="0" fontId="2" fillId="3" borderId="0" xfId="0" applyFont="1" applyFill="1"/>
    <xf numFmtId="164" fontId="2" fillId="3" borderId="0" xfId="0" applyNumberFormat="1" applyFont="1" applyFill="1"/>
    <xf numFmtId="165" fontId="2" fillId="3" borderId="0" xfId="0" applyNumberFormat="1" applyFont="1" applyFill="1"/>
    <xf numFmtId="9" fontId="2" fillId="3" borderId="0" xfId="0" applyNumberFormat="1" applyFont="1" applyFill="1"/>
    <xf numFmtId="10" fontId="2" fillId="3" borderId="0" xfId="0" applyNumberFormat="1" applyFont="1" applyFill="1"/>
    <xf numFmtId="166" fontId="2" fillId="3" borderId="0" xfId="0" applyNumberFormat="1" applyFont="1" applyFill="1"/>
    <xf numFmtId="167" fontId="5" fillId="3" borderId="1" xfId="1" applyFont="1" applyFill="1"/>
    <xf numFmtId="167" fontId="5" fillId="3" borderId="1" xfId="1" applyFont="1" applyFill="1" applyAlignment="1">
      <alignment horizontal="center"/>
    </xf>
    <xf numFmtId="2" fontId="3" fillId="4" borderId="2" xfId="0" applyNumberFormat="1" applyFont="1" applyFill="1" applyBorder="1"/>
    <xf numFmtId="168" fontId="3" fillId="4" borderId="2" xfId="0" applyNumberFormat="1" applyFont="1" applyFill="1" applyBorder="1"/>
    <xf numFmtId="1" fontId="2" fillId="3" borderId="0" xfId="0" applyNumberFormat="1" applyFont="1" applyFill="1"/>
    <xf numFmtId="4" fontId="3" fillId="4" borderId="2" xfId="0" applyNumberFormat="1" applyFont="1" applyFill="1" applyBorder="1"/>
    <xf numFmtId="4" fontId="0" fillId="0" borderId="0" xfId="0" applyNumberFormat="1"/>
    <xf numFmtId="0" fontId="3" fillId="0" borderId="0" xfId="0" applyFont="1" applyAlignment="1">
      <alignment horizontal="left" indent="2"/>
    </xf>
    <xf numFmtId="0" fontId="6" fillId="0" borderId="0" xfId="0" applyFont="1"/>
    <xf numFmtId="167" fontId="7" fillId="3" borderId="1" xfId="1" applyFont="1" applyFill="1"/>
    <xf numFmtId="169" fontId="3" fillId="4" borderId="2" xfId="0" applyNumberFormat="1" applyFont="1" applyFill="1" applyBorder="1"/>
    <xf numFmtId="9" fontId="3" fillId="4" borderId="2" xfId="2" applyFont="1" applyFill="1" applyBorder="1"/>
    <xf numFmtId="10" fontId="3" fillId="4" borderId="2" xfId="2" applyNumberFormat="1" applyFont="1" applyFill="1" applyBorder="1"/>
    <xf numFmtId="2" fontId="3" fillId="4" borderId="2" xfId="2" applyNumberFormat="1" applyFont="1" applyFill="1" applyBorder="1"/>
    <xf numFmtId="9" fontId="3" fillId="4" borderId="3" xfId="2" applyFont="1" applyFill="1" applyBorder="1"/>
    <xf numFmtId="4" fontId="3" fillId="4" borderId="2" xfId="0" applyNumberFormat="1" applyFont="1" applyFill="1" applyBorder="1" applyAlignment="1">
      <alignment horizontal="right"/>
    </xf>
    <xf numFmtId="10" fontId="3" fillId="4" borderId="2" xfId="2" applyNumberFormat="1" applyFont="1" applyFill="1" applyBorder="1" applyAlignment="1">
      <alignment horizontal="right"/>
    </xf>
    <xf numFmtId="170" fontId="3" fillId="4" borderId="2" xfId="0" applyNumberFormat="1" applyFont="1" applyFill="1" applyBorder="1" applyAlignment="1">
      <alignment horizontal="right"/>
    </xf>
    <xf numFmtId="0" fontId="5" fillId="0" borderId="0" xfId="0" applyFont="1"/>
    <xf numFmtId="0" fontId="9" fillId="0" borderId="0" xfId="0" applyFont="1"/>
    <xf numFmtId="9" fontId="5" fillId="0" borderId="0" xfId="0" applyNumberFormat="1" applyFont="1"/>
    <xf numFmtId="3" fontId="5" fillId="0" borderId="0" xfId="0" applyNumberFormat="1" applyFont="1"/>
    <xf numFmtId="0" fontId="3" fillId="5" borderId="0" xfId="0" applyFont="1" applyFill="1"/>
    <xf numFmtId="10" fontId="5" fillId="0" borderId="0" xfId="0" applyNumberFormat="1" applyFont="1"/>
    <xf numFmtId="4" fontId="2" fillId="4" borderId="2" xfId="0" applyNumberFormat="1" applyFont="1" applyFill="1" applyBorder="1"/>
    <xf numFmtId="0" fontId="3" fillId="5" borderId="0" xfId="0" applyFont="1" applyFill="1" applyAlignment="1">
      <alignment horizontal="center"/>
    </xf>
    <xf numFmtId="0" fontId="0" fillId="5" borderId="0" xfId="0" applyFill="1"/>
    <xf numFmtId="2" fontId="3" fillId="4" borderId="2" xfId="0" applyNumberFormat="1" applyFont="1" applyFill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/>
    <xf numFmtId="167" fontId="5" fillId="3" borderId="1" xfId="1" applyFont="1" applyFill="1" applyAlignment="1">
      <alignment horizontal="center"/>
    </xf>
  </cellXfs>
  <cellStyles count="3">
    <cellStyle name="EYHeader1" xfId="1" xr:uid="{00000000-0005-0000-0000-000000000000}"/>
    <cellStyle name="Обычный" xfId="0" builtinId="0"/>
    <cellStyle name="Процентный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Y88"/>
  <sheetViews>
    <sheetView zoomScaleNormal="100" workbookViewId="0">
      <pane ySplit="3" topLeftCell="A4" activePane="bottomLeft" state="frozen"/>
      <selection pane="bottomLeft" activeCell="H9" sqref="H9:K9"/>
    </sheetView>
  </sheetViews>
  <sheetFormatPr defaultRowHeight="14.5" outlineLevelRow="1" x14ac:dyDescent="0.35"/>
  <cols>
    <col min="1" max="1" width="3.453125" bestFit="1" customWidth="1"/>
    <col min="2" max="2" width="4.453125" customWidth="1"/>
    <col min="3" max="3" width="2.54296875" hidden="1" customWidth="1"/>
    <col min="4" max="4" width="46.54296875" customWidth="1"/>
    <col min="5" max="5" width="16.26953125" customWidth="1"/>
    <col min="6" max="7" width="2.1796875" hidden="1" customWidth="1"/>
    <col min="8" max="8" width="13" customWidth="1"/>
    <col min="9" max="9" width="12.26953125" customWidth="1"/>
    <col min="10" max="10" width="14.7265625" customWidth="1"/>
    <col min="11" max="11" width="14.26953125" customWidth="1"/>
    <col min="12" max="12" width="10.81640625" customWidth="1"/>
    <col min="13" max="13" width="11.36328125" customWidth="1"/>
    <col min="14" max="14" width="9.6328125" customWidth="1"/>
    <col min="15" max="20" width="8.7265625" bestFit="1" customWidth="1"/>
    <col min="21" max="21" width="8.7265625" customWidth="1"/>
    <col min="22" max="22" width="8.7265625" bestFit="1" customWidth="1"/>
  </cols>
  <sheetData>
    <row r="1" spans="1:25" s="4" customFormat="1" ht="12.75" customHeight="1" x14ac:dyDescent="0.3">
      <c r="A1" s="3"/>
      <c r="B1" s="3" t="s">
        <v>0</v>
      </c>
      <c r="E1" s="3"/>
      <c r="G1" s="5"/>
    </row>
    <row r="2" spans="1:25" s="4" customFormat="1" ht="13" x14ac:dyDescent="0.3">
      <c r="D2" s="4" t="s">
        <v>29</v>
      </c>
      <c r="H2" s="6">
        <v>1</v>
      </c>
      <c r="I2" s="6">
        <v>2</v>
      </c>
      <c r="J2" s="6">
        <v>3</v>
      </c>
      <c r="K2" s="6">
        <v>4</v>
      </c>
      <c r="L2" s="6">
        <v>5</v>
      </c>
      <c r="M2" s="6">
        <v>6</v>
      </c>
      <c r="N2" s="6">
        <v>7</v>
      </c>
      <c r="O2" s="6">
        <v>8</v>
      </c>
      <c r="P2" s="6">
        <v>9</v>
      </c>
      <c r="Q2" s="6">
        <v>10</v>
      </c>
      <c r="R2" s="6">
        <v>11</v>
      </c>
      <c r="S2" s="6">
        <v>12</v>
      </c>
      <c r="T2" s="6">
        <v>13</v>
      </c>
      <c r="U2" s="6">
        <v>14</v>
      </c>
      <c r="V2" s="6">
        <v>15</v>
      </c>
      <c r="W2" s="6"/>
      <c r="X2" s="6"/>
      <c r="Y2" s="6"/>
    </row>
    <row r="3" spans="1:25" s="4" customFormat="1" ht="13" x14ac:dyDescent="0.3">
      <c r="D3" s="4" t="s">
        <v>19</v>
      </c>
      <c r="E3" s="7"/>
      <c r="G3" s="8"/>
      <c r="H3" s="14">
        <v>2020</v>
      </c>
      <c r="I3" s="14">
        <v>2021</v>
      </c>
      <c r="J3" s="14">
        <v>2022</v>
      </c>
      <c r="K3" s="14">
        <v>2023</v>
      </c>
      <c r="L3" s="14">
        <v>2024</v>
      </c>
      <c r="M3" s="14">
        <v>2025</v>
      </c>
      <c r="N3" s="14">
        <v>2026</v>
      </c>
      <c r="O3" s="14">
        <v>2027</v>
      </c>
      <c r="P3" s="14">
        <v>2028</v>
      </c>
      <c r="Q3" s="14">
        <v>2029</v>
      </c>
      <c r="R3" s="14">
        <v>2030</v>
      </c>
      <c r="S3" s="14">
        <v>2031</v>
      </c>
      <c r="T3" s="14">
        <v>2032</v>
      </c>
      <c r="U3" s="14">
        <v>2033</v>
      </c>
      <c r="V3" s="14">
        <v>2034</v>
      </c>
      <c r="W3" s="9"/>
      <c r="X3" s="9"/>
      <c r="Y3" s="9"/>
    </row>
    <row r="4" spans="1:25" s="1" customFormat="1" ht="13" x14ac:dyDescent="0.3">
      <c r="E4" s="2"/>
      <c r="F4" s="2"/>
      <c r="G4" s="2"/>
      <c r="H4" s="2"/>
      <c r="I4" s="2"/>
      <c r="J4" s="2"/>
      <c r="K4" s="2"/>
      <c r="L4" s="2"/>
      <c r="M4" s="2"/>
      <c r="N4" s="2"/>
    </row>
    <row r="5" spans="1:25" s="10" customFormat="1" ht="13" x14ac:dyDescent="0.3">
      <c r="A5" s="10">
        <v>1</v>
      </c>
      <c r="B5" s="10" t="s">
        <v>15</v>
      </c>
      <c r="E5" s="11"/>
      <c r="F5" s="11"/>
    </row>
    <row r="6" spans="1:25" s="1" customFormat="1" ht="13" outlineLevel="1" x14ac:dyDescent="0.3">
      <c r="E6" s="2"/>
    </row>
    <row r="7" spans="1:25" s="1" customFormat="1" outlineLevel="1" x14ac:dyDescent="0.35">
      <c r="D7" s="1" t="s">
        <v>16</v>
      </c>
      <c r="E7" s="2" t="s">
        <v>17</v>
      </c>
      <c r="F7" s="2"/>
      <c r="H7" s="20">
        <v>31.103476799999999</v>
      </c>
      <c r="I7"/>
      <c r="J7"/>
      <c r="K7"/>
      <c r="L7"/>
      <c r="M7"/>
      <c r="N7"/>
      <c r="O7"/>
      <c r="P7"/>
      <c r="Q7"/>
      <c r="R7"/>
      <c r="S7"/>
      <c r="T7"/>
      <c r="U7"/>
      <c r="V7"/>
    </row>
    <row r="8" spans="1:25" s="1" customFormat="1" outlineLevel="1" x14ac:dyDescent="0.35">
      <c r="D8" s="1" t="s">
        <v>28</v>
      </c>
      <c r="E8" s="2" t="s">
        <v>2</v>
      </c>
      <c r="F8" s="2"/>
      <c r="H8" s="24">
        <v>0.15</v>
      </c>
      <c r="I8"/>
      <c r="J8"/>
      <c r="K8"/>
      <c r="L8"/>
      <c r="M8"/>
      <c r="N8"/>
      <c r="O8"/>
      <c r="P8"/>
      <c r="Q8"/>
      <c r="R8"/>
      <c r="S8"/>
      <c r="T8"/>
      <c r="U8"/>
      <c r="V8"/>
    </row>
    <row r="9" spans="1:25" s="1" customFormat="1" outlineLevel="1" x14ac:dyDescent="0.35">
      <c r="D9" s="1" t="s">
        <v>61</v>
      </c>
      <c r="E9" s="2"/>
      <c r="F9" s="2"/>
      <c r="H9" s="37" t="s">
        <v>188</v>
      </c>
      <c r="I9" s="37"/>
      <c r="J9" s="37"/>
      <c r="K9" s="37"/>
      <c r="L9">
        <f>IF(H9="Покупная электроэнергия",1,2)</f>
        <v>2</v>
      </c>
      <c r="M9"/>
      <c r="N9"/>
      <c r="O9"/>
      <c r="P9"/>
      <c r="Q9"/>
      <c r="R9"/>
      <c r="S9"/>
      <c r="T9"/>
      <c r="U9"/>
      <c r="V9"/>
    </row>
    <row r="10" spans="1:25" s="1" customFormat="1" ht="13" x14ac:dyDescent="0.3">
      <c r="E10" s="2"/>
    </row>
    <row r="11" spans="1:25" s="10" customFormat="1" ht="13" x14ac:dyDescent="0.3">
      <c r="A11" s="10">
        <v>2</v>
      </c>
      <c r="B11" s="10" t="s">
        <v>4</v>
      </c>
      <c r="E11" s="11"/>
      <c r="F11" s="11"/>
    </row>
    <row r="12" spans="1:25" s="1" customFormat="1" ht="13" outlineLevel="1" x14ac:dyDescent="0.3">
      <c r="E12" s="2"/>
    </row>
    <row r="13" spans="1:25" s="1" customFormat="1" ht="13" outlineLevel="1" x14ac:dyDescent="0.3">
      <c r="D13" s="1" t="s">
        <v>5</v>
      </c>
      <c r="E13" s="2" t="s">
        <v>2</v>
      </c>
    </row>
    <row r="14" spans="1:25" s="1" customFormat="1" ht="13" outlineLevel="1" x14ac:dyDescent="0.3">
      <c r="D14" s="1" t="s">
        <v>6</v>
      </c>
      <c r="E14" s="2" t="s">
        <v>2</v>
      </c>
      <c r="H14" s="13">
        <v>0.2</v>
      </c>
      <c r="I14" s="13">
        <v>0.2</v>
      </c>
      <c r="J14" s="13">
        <v>0.2</v>
      </c>
      <c r="K14" s="13">
        <v>0.2</v>
      </c>
      <c r="L14" s="13">
        <v>0.2</v>
      </c>
      <c r="M14" s="13">
        <v>0.2</v>
      </c>
      <c r="N14" s="13">
        <v>0.2</v>
      </c>
      <c r="O14" s="13">
        <v>0.2</v>
      </c>
      <c r="P14" s="13">
        <v>0.2</v>
      </c>
      <c r="Q14" s="13">
        <v>0.2</v>
      </c>
      <c r="R14" s="13">
        <v>0.2</v>
      </c>
      <c r="S14" s="13">
        <v>0.2</v>
      </c>
      <c r="T14" s="13">
        <v>0.2</v>
      </c>
      <c r="U14" s="13">
        <v>0.2</v>
      </c>
      <c r="V14" s="13">
        <v>0.2</v>
      </c>
    </row>
    <row r="15" spans="1:25" s="1" customFormat="1" ht="13" outlineLevel="1" x14ac:dyDescent="0.3">
      <c r="D15" s="1" t="s">
        <v>6</v>
      </c>
      <c r="E15" s="2" t="s">
        <v>2</v>
      </c>
      <c r="H15" s="13">
        <v>0.1</v>
      </c>
      <c r="I15" s="13">
        <v>0.1</v>
      </c>
      <c r="J15" s="13">
        <v>0.1</v>
      </c>
      <c r="K15" s="13">
        <v>0.1</v>
      </c>
      <c r="L15" s="13">
        <v>0.1</v>
      </c>
      <c r="M15" s="13">
        <v>0.1</v>
      </c>
      <c r="N15" s="13">
        <v>0.1</v>
      </c>
      <c r="O15" s="13">
        <v>0.1</v>
      </c>
      <c r="P15" s="13">
        <v>0.1</v>
      </c>
      <c r="Q15" s="13">
        <v>0.1</v>
      </c>
      <c r="R15" s="13">
        <v>0.1</v>
      </c>
      <c r="S15" s="13">
        <v>0.1</v>
      </c>
      <c r="T15" s="13">
        <v>0.1</v>
      </c>
      <c r="U15" s="13">
        <v>0.1</v>
      </c>
      <c r="V15" s="13">
        <v>0.1</v>
      </c>
    </row>
    <row r="16" spans="1:25" s="1" customFormat="1" ht="13" outlineLevel="1" x14ac:dyDescent="0.3">
      <c r="D16" s="1" t="s">
        <v>6</v>
      </c>
      <c r="E16" s="2" t="s">
        <v>2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</row>
    <row r="17" spans="1:22" s="1" customFormat="1" outlineLevel="1" x14ac:dyDescent="0.35">
      <c r="D17" s="1" t="s">
        <v>92</v>
      </c>
      <c r="E17" s="2" t="s">
        <v>2</v>
      </c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</row>
    <row r="18" spans="1:22" s="1" customFormat="1" ht="13" outlineLevel="1" x14ac:dyDescent="0.3">
      <c r="D18" s="1" t="s">
        <v>116</v>
      </c>
      <c r="E18" s="2" t="s">
        <v>2</v>
      </c>
      <c r="H18" s="13">
        <v>0.06</v>
      </c>
      <c r="I18" s="13">
        <v>0.06</v>
      </c>
      <c r="J18" s="13">
        <v>0.06</v>
      </c>
      <c r="K18" s="13">
        <v>0.06</v>
      </c>
      <c r="L18" s="13">
        <v>0.06</v>
      </c>
      <c r="M18" s="13">
        <v>0.06</v>
      </c>
      <c r="N18" s="13">
        <v>0.06</v>
      </c>
      <c r="O18" s="13">
        <v>0.06</v>
      </c>
      <c r="P18" s="13">
        <v>0.06</v>
      </c>
      <c r="Q18" s="13">
        <v>0.06</v>
      </c>
      <c r="R18" s="13">
        <v>0.06</v>
      </c>
      <c r="S18" s="13">
        <v>0.06</v>
      </c>
      <c r="T18" s="13">
        <v>0.06</v>
      </c>
      <c r="U18" s="13">
        <v>0.06</v>
      </c>
      <c r="V18" s="13">
        <v>0.06</v>
      </c>
    </row>
    <row r="19" spans="1:22" s="1" customFormat="1" ht="13" outlineLevel="1" x14ac:dyDescent="0.3">
      <c r="D19" s="1" t="s">
        <v>115</v>
      </c>
      <c r="E19" s="2" t="s">
        <v>2</v>
      </c>
      <c r="H19" s="13">
        <v>6.5000000000000002E-2</v>
      </c>
      <c r="I19" s="13">
        <v>6.5000000000000002E-2</v>
      </c>
      <c r="J19" s="13">
        <v>6.5000000000000002E-2</v>
      </c>
      <c r="K19" s="13">
        <v>6.5000000000000002E-2</v>
      </c>
      <c r="L19" s="13">
        <v>6.5000000000000002E-2</v>
      </c>
      <c r="M19" s="13">
        <v>6.5000000000000002E-2</v>
      </c>
      <c r="N19" s="13">
        <v>6.5000000000000002E-2</v>
      </c>
      <c r="O19" s="13">
        <v>6.5000000000000002E-2</v>
      </c>
      <c r="P19" s="13">
        <v>6.5000000000000002E-2</v>
      </c>
      <c r="Q19" s="13">
        <v>6.5000000000000002E-2</v>
      </c>
      <c r="R19" s="13">
        <v>6.5000000000000002E-2</v>
      </c>
      <c r="S19" s="13">
        <v>6.5000000000000002E-2</v>
      </c>
      <c r="T19" s="13">
        <v>6.5000000000000002E-2</v>
      </c>
      <c r="U19" s="13">
        <v>6.5000000000000002E-2</v>
      </c>
      <c r="V19" s="13">
        <v>6.5000000000000002E-2</v>
      </c>
    </row>
    <row r="20" spans="1:22" s="1" customFormat="1" ht="13" outlineLevel="1" x14ac:dyDescent="0.3">
      <c r="D20" s="1" t="s">
        <v>7</v>
      </c>
      <c r="E20" s="2" t="s">
        <v>2</v>
      </c>
      <c r="H20" s="13">
        <v>2.1999999999999999E-2</v>
      </c>
      <c r="I20" s="13">
        <v>2.1999999999999999E-2</v>
      </c>
      <c r="J20" s="13">
        <v>2.1999999999999999E-2</v>
      </c>
      <c r="K20" s="13">
        <v>2.1999999999999999E-2</v>
      </c>
      <c r="L20" s="13">
        <v>2.1999999999999999E-2</v>
      </c>
      <c r="M20" s="13">
        <v>2.1999999999999999E-2</v>
      </c>
      <c r="N20" s="13">
        <v>2.1999999999999999E-2</v>
      </c>
      <c r="O20" s="13">
        <v>2.1999999999999999E-2</v>
      </c>
      <c r="P20" s="13">
        <v>2.1999999999999999E-2</v>
      </c>
      <c r="Q20" s="13">
        <v>2.1999999999999999E-2</v>
      </c>
      <c r="R20" s="13">
        <v>2.1999999999999999E-2</v>
      </c>
      <c r="S20" s="13">
        <v>2.1999999999999999E-2</v>
      </c>
      <c r="T20" s="13">
        <v>2.1999999999999999E-2</v>
      </c>
      <c r="U20" s="13">
        <v>2.1999999999999999E-2</v>
      </c>
      <c r="V20" s="13">
        <v>2.1999999999999999E-2</v>
      </c>
    </row>
    <row r="21" spans="1:22" s="1" customFormat="1" ht="13" outlineLevel="1" x14ac:dyDescent="0.3">
      <c r="D21" s="1" t="s">
        <v>8</v>
      </c>
      <c r="E21" s="2" t="s">
        <v>2</v>
      </c>
      <c r="H21" s="13">
        <v>0.3</v>
      </c>
      <c r="I21" s="13">
        <v>0.3</v>
      </c>
      <c r="J21" s="13">
        <v>0.3</v>
      </c>
      <c r="K21" s="13">
        <v>0.3</v>
      </c>
      <c r="L21" s="13">
        <v>0.3</v>
      </c>
      <c r="M21" s="13">
        <v>0.3</v>
      </c>
      <c r="N21" s="13">
        <v>0.3</v>
      </c>
      <c r="O21" s="13">
        <v>0.3</v>
      </c>
      <c r="P21" s="13">
        <v>0.3</v>
      </c>
      <c r="Q21" s="13">
        <v>0.3</v>
      </c>
      <c r="R21" s="13">
        <v>0.3</v>
      </c>
      <c r="S21" s="13">
        <v>0.3</v>
      </c>
      <c r="T21" s="13">
        <v>0.3</v>
      </c>
      <c r="U21" s="13">
        <v>0.3</v>
      </c>
      <c r="V21" s="13">
        <v>0.3</v>
      </c>
    </row>
    <row r="22" spans="1:22" s="1" customFormat="1" ht="13" outlineLevel="1" x14ac:dyDescent="0.3">
      <c r="D22" s="1" t="s">
        <v>9</v>
      </c>
      <c r="E22" s="2" t="s">
        <v>2</v>
      </c>
      <c r="H22" s="13">
        <v>0.2</v>
      </c>
      <c r="I22" s="13">
        <v>0.2</v>
      </c>
      <c r="J22" s="13">
        <v>0.2</v>
      </c>
      <c r="K22" s="13">
        <v>0.2</v>
      </c>
      <c r="L22" s="13">
        <v>0.2</v>
      </c>
      <c r="M22" s="13">
        <v>0.2</v>
      </c>
      <c r="N22" s="13">
        <v>0.2</v>
      </c>
      <c r="O22" s="13">
        <v>0.2</v>
      </c>
      <c r="P22" s="13">
        <v>0.2</v>
      </c>
      <c r="Q22" s="13">
        <v>0.2</v>
      </c>
      <c r="R22" s="13">
        <v>0.2</v>
      </c>
      <c r="S22" s="13">
        <v>0.2</v>
      </c>
      <c r="T22" s="13">
        <v>0.2</v>
      </c>
      <c r="U22" s="13">
        <v>0.2</v>
      </c>
      <c r="V22" s="13">
        <v>0.2</v>
      </c>
    </row>
    <row r="23" spans="1:22" s="1" customFormat="1" ht="13" outlineLevel="1" x14ac:dyDescent="0.3">
      <c r="D23" s="1" t="s">
        <v>10</v>
      </c>
      <c r="E23" s="2" t="s">
        <v>2</v>
      </c>
      <c r="H23" s="13">
        <v>0.13</v>
      </c>
      <c r="I23" s="13">
        <v>0.13</v>
      </c>
      <c r="J23" s="13">
        <v>0.13</v>
      </c>
      <c r="K23" s="13">
        <v>0.13</v>
      </c>
      <c r="L23" s="13">
        <v>0.13</v>
      </c>
      <c r="M23" s="13">
        <v>0.13</v>
      </c>
      <c r="N23" s="13">
        <v>0.13</v>
      </c>
      <c r="O23" s="13">
        <v>0.13</v>
      </c>
      <c r="P23" s="13">
        <v>0.13</v>
      </c>
      <c r="Q23" s="13">
        <v>0.13</v>
      </c>
      <c r="R23" s="13">
        <v>0.13</v>
      </c>
      <c r="S23" s="13">
        <v>0.13</v>
      </c>
      <c r="T23" s="13">
        <v>0.13</v>
      </c>
      <c r="U23" s="13">
        <v>0.13</v>
      </c>
      <c r="V23" s="13">
        <v>0.13</v>
      </c>
    </row>
    <row r="25" spans="1:22" s="10" customFormat="1" ht="13" x14ac:dyDescent="0.3">
      <c r="A25" s="10">
        <v>3</v>
      </c>
      <c r="B25" s="10" t="s">
        <v>1</v>
      </c>
      <c r="E25" s="11"/>
      <c r="F25" s="11"/>
    </row>
    <row r="26" spans="1:22" s="1" customFormat="1" ht="13" outlineLevel="1" x14ac:dyDescent="0.3">
      <c r="E26" s="2"/>
    </row>
    <row r="27" spans="1:22" s="1" customFormat="1" ht="13" outlineLevel="1" x14ac:dyDescent="0.3">
      <c r="D27" s="1" t="s">
        <v>11</v>
      </c>
      <c r="E27" s="2" t="s">
        <v>3</v>
      </c>
      <c r="F27" s="2"/>
      <c r="H27" s="15">
        <v>100</v>
      </c>
      <c r="I27" s="15">
        <v>100</v>
      </c>
      <c r="J27" s="15">
        <v>100</v>
      </c>
      <c r="K27" s="15">
        <v>100</v>
      </c>
      <c r="L27" s="15">
        <v>100</v>
      </c>
      <c r="M27" s="15">
        <v>100</v>
      </c>
      <c r="N27" s="15">
        <v>100</v>
      </c>
      <c r="O27" s="15">
        <v>100</v>
      </c>
      <c r="P27" s="15">
        <v>100</v>
      </c>
      <c r="Q27" s="15">
        <v>100</v>
      </c>
      <c r="R27" s="15">
        <v>100</v>
      </c>
      <c r="S27" s="15">
        <v>100</v>
      </c>
      <c r="T27" s="15">
        <v>100</v>
      </c>
      <c r="U27" s="15">
        <v>100</v>
      </c>
      <c r="V27" s="15">
        <v>100</v>
      </c>
    </row>
    <row r="28" spans="1:22" s="1" customFormat="1" ht="13" outlineLevel="1" x14ac:dyDescent="0.3">
      <c r="D28" s="1" t="s">
        <v>12</v>
      </c>
      <c r="E28" s="2" t="s">
        <v>13</v>
      </c>
      <c r="F28" s="2"/>
      <c r="H28" s="15">
        <f>1100*(1+'Анализ чув-ти'!$C$7)</f>
        <v>1100</v>
      </c>
      <c r="I28" s="15">
        <f>1100*(1+'Анализ чув-ти'!$C$7)</f>
        <v>1100</v>
      </c>
      <c r="J28" s="15">
        <f>1100*(1+'Анализ чув-ти'!$C$7)</f>
        <v>1100</v>
      </c>
      <c r="K28" s="15">
        <f>1100*(1+'Анализ чув-ти'!$C$7)</f>
        <v>1100</v>
      </c>
      <c r="L28" s="15">
        <f>1100*(1+'Анализ чув-ти'!$C$7)</f>
        <v>1100</v>
      </c>
      <c r="M28" s="15">
        <f>1100*(1+'Анализ чув-ти'!$C$7)</f>
        <v>1100</v>
      </c>
      <c r="N28" s="15">
        <f>1100*(1+'Анализ чув-ти'!$C$7)</f>
        <v>1100</v>
      </c>
      <c r="O28" s="15">
        <f>1100*(1+'Анализ чув-ти'!$C$7)</f>
        <v>1100</v>
      </c>
      <c r="P28" s="15">
        <f>1100*(1+'Анализ чув-ти'!$C$7)</f>
        <v>1100</v>
      </c>
      <c r="Q28" s="15">
        <f>1100*(1+'Анализ чув-ти'!$C$7)</f>
        <v>1100</v>
      </c>
      <c r="R28" s="15">
        <f>1100*(1+'Анализ чув-ти'!$C$7)</f>
        <v>1100</v>
      </c>
      <c r="S28" s="15">
        <f>1100*(1+'Анализ чув-ти'!$C$7)</f>
        <v>1100</v>
      </c>
      <c r="T28" s="15">
        <f>1100*(1+'Анализ чув-ти'!$C$7)</f>
        <v>1100</v>
      </c>
      <c r="U28" s="15">
        <f>1100*(1+'Анализ чув-ти'!$C$7)</f>
        <v>1100</v>
      </c>
      <c r="V28" s="15">
        <f>1100*(1+'Анализ чув-ти'!$C$7)</f>
        <v>1100</v>
      </c>
    </row>
    <row r="29" spans="1:22" s="1" customFormat="1" ht="13" outlineLevel="1" x14ac:dyDescent="0.3">
      <c r="D29" s="1" t="s">
        <v>12</v>
      </c>
      <c r="E29" s="2" t="s">
        <v>14</v>
      </c>
      <c r="F29" s="2"/>
      <c r="H29" s="15">
        <f>H28*H$27/$H$7</f>
        <v>3536.5821225490781</v>
      </c>
      <c r="I29" s="15">
        <f t="shared" ref="I29:V29" si="0">I28*I27/$H$7</f>
        <v>3536.5821225490781</v>
      </c>
      <c r="J29" s="15">
        <f t="shared" si="0"/>
        <v>3536.5821225490781</v>
      </c>
      <c r="K29" s="15">
        <f t="shared" si="0"/>
        <v>3536.5821225490781</v>
      </c>
      <c r="L29" s="15">
        <f t="shared" si="0"/>
        <v>3536.5821225490781</v>
      </c>
      <c r="M29" s="15">
        <f t="shared" si="0"/>
        <v>3536.5821225490781</v>
      </c>
      <c r="N29" s="15">
        <f t="shared" si="0"/>
        <v>3536.5821225490781</v>
      </c>
      <c r="O29" s="15">
        <f t="shared" si="0"/>
        <v>3536.5821225490781</v>
      </c>
      <c r="P29" s="15">
        <f t="shared" si="0"/>
        <v>3536.5821225490781</v>
      </c>
      <c r="Q29" s="15">
        <f t="shared" si="0"/>
        <v>3536.5821225490781</v>
      </c>
      <c r="R29" s="15">
        <f t="shared" si="0"/>
        <v>3536.5821225490781</v>
      </c>
      <c r="S29" s="15">
        <f t="shared" si="0"/>
        <v>3536.5821225490781</v>
      </c>
      <c r="T29" s="15">
        <f t="shared" si="0"/>
        <v>3536.5821225490781</v>
      </c>
      <c r="U29" s="15">
        <f t="shared" si="0"/>
        <v>3536.5821225490781</v>
      </c>
      <c r="V29" s="15">
        <f t="shared" si="0"/>
        <v>3536.5821225490781</v>
      </c>
    </row>
    <row r="30" spans="1:22" s="1" customFormat="1" ht="13" outlineLevel="1" x14ac:dyDescent="0.3">
      <c r="D30" s="1" t="s">
        <v>18</v>
      </c>
      <c r="E30" s="2" t="s">
        <v>13</v>
      </c>
      <c r="F30" s="2"/>
      <c r="H30" s="15">
        <v>12</v>
      </c>
      <c r="I30" s="15">
        <v>12</v>
      </c>
      <c r="J30" s="15">
        <v>12</v>
      </c>
      <c r="K30" s="15">
        <v>12</v>
      </c>
      <c r="L30" s="15">
        <v>12</v>
      </c>
      <c r="M30" s="15">
        <v>12</v>
      </c>
      <c r="N30" s="15">
        <v>12</v>
      </c>
      <c r="O30" s="15">
        <v>12</v>
      </c>
      <c r="P30" s="15">
        <v>12</v>
      </c>
      <c r="Q30" s="15">
        <v>12</v>
      </c>
      <c r="R30" s="15">
        <v>12</v>
      </c>
      <c r="S30" s="15">
        <v>12</v>
      </c>
      <c r="T30" s="15">
        <v>12</v>
      </c>
      <c r="U30" s="15">
        <v>12</v>
      </c>
      <c r="V30" s="15">
        <v>12</v>
      </c>
    </row>
    <row r="31" spans="1:22" outlineLevel="1" x14ac:dyDescent="0.35">
      <c r="D31" s="1" t="s">
        <v>18</v>
      </c>
      <c r="E31" s="2" t="s">
        <v>14</v>
      </c>
      <c r="H31" s="15">
        <f>H30*H$27/$H$7</f>
        <v>38.58089588235358</v>
      </c>
      <c r="I31" s="15">
        <f t="shared" ref="I31:V31" si="1">I30*I$27/$H$7</f>
        <v>38.58089588235358</v>
      </c>
      <c r="J31" s="15">
        <f t="shared" si="1"/>
        <v>38.58089588235358</v>
      </c>
      <c r="K31" s="15">
        <f t="shared" si="1"/>
        <v>38.58089588235358</v>
      </c>
      <c r="L31" s="15">
        <f t="shared" si="1"/>
        <v>38.58089588235358</v>
      </c>
      <c r="M31" s="15">
        <f t="shared" si="1"/>
        <v>38.58089588235358</v>
      </c>
      <c r="N31" s="15">
        <f t="shared" si="1"/>
        <v>38.58089588235358</v>
      </c>
      <c r="O31" s="15">
        <f t="shared" si="1"/>
        <v>38.58089588235358</v>
      </c>
      <c r="P31" s="15">
        <f t="shared" si="1"/>
        <v>38.58089588235358</v>
      </c>
      <c r="Q31" s="15">
        <f t="shared" si="1"/>
        <v>38.58089588235358</v>
      </c>
      <c r="R31" s="15">
        <f t="shared" si="1"/>
        <v>38.58089588235358</v>
      </c>
      <c r="S31" s="15">
        <f t="shared" si="1"/>
        <v>38.58089588235358</v>
      </c>
      <c r="T31" s="15">
        <f t="shared" si="1"/>
        <v>38.58089588235358</v>
      </c>
      <c r="U31" s="15">
        <f t="shared" si="1"/>
        <v>38.58089588235358</v>
      </c>
      <c r="V31" s="15">
        <f t="shared" si="1"/>
        <v>38.58089588235358</v>
      </c>
    </row>
    <row r="33" spans="1:22" s="10" customFormat="1" ht="13" x14ac:dyDescent="0.3">
      <c r="A33" s="10">
        <v>4</v>
      </c>
      <c r="B33" s="10" t="s">
        <v>36</v>
      </c>
      <c r="E33" s="11"/>
      <c r="F33" s="11"/>
    </row>
    <row r="34" spans="1:22" s="1" customFormat="1" ht="13" outlineLevel="1" x14ac:dyDescent="0.3">
      <c r="E34" s="2"/>
    </row>
    <row r="35" spans="1:22" s="1" customFormat="1" ht="13" outlineLevel="1" x14ac:dyDescent="0.3">
      <c r="D35" s="1" t="s">
        <v>30</v>
      </c>
      <c r="E35" s="2" t="s">
        <v>49</v>
      </c>
      <c r="F35" s="2"/>
      <c r="H35" s="12">
        <f>10*(1+'Анализ чув-ти'!$C$11)</f>
        <v>10</v>
      </c>
      <c r="I35" s="12">
        <f>10*(1+'Анализ чув-ти'!$C$11)</f>
        <v>10</v>
      </c>
      <c r="J35" s="12">
        <f>10*(1+'Анализ чув-ти'!$C$11)</f>
        <v>10</v>
      </c>
      <c r="K35" s="12">
        <f>10*(1+'Анализ чув-ти'!$C$11)</f>
        <v>10</v>
      </c>
      <c r="L35" s="12">
        <f>10*(1+'Анализ чув-ти'!$C$11)</f>
        <v>10</v>
      </c>
      <c r="M35" s="12">
        <f>10*(1+'Анализ чув-ти'!$C$11)</f>
        <v>10</v>
      </c>
      <c r="N35" s="12">
        <f>10*(1+'Анализ чув-ти'!$C$11)</f>
        <v>10</v>
      </c>
      <c r="O35" s="12">
        <f>10*(1+'Анализ чув-ти'!$C$11)</f>
        <v>10</v>
      </c>
      <c r="P35" s="12">
        <f>10*(1+'Анализ чув-ти'!$C$11)</f>
        <v>10</v>
      </c>
      <c r="Q35" s="12">
        <f>10*(1+'Анализ чув-ти'!$C$11)</f>
        <v>10</v>
      </c>
      <c r="R35" s="12">
        <f>10*(1+'Анализ чув-ти'!$C$11)</f>
        <v>10</v>
      </c>
      <c r="S35" s="12">
        <f>10*(1+'Анализ чув-ти'!$C$11)</f>
        <v>10</v>
      </c>
      <c r="T35" s="12">
        <f>10*(1+'Анализ чув-ти'!$C$11)</f>
        <v>10</v>
      </c>
      <c r="U35" s="12">
        <f>10*(1+'Анализ чув-ти'!$C$11)</f>
        <v>10</v>
      </c>
      <c r="V35" s="12">
        <f>10*(1+'Анализ чув-ти'!$C$11)</f>
        <v>10</v>
      </c>
    </row>
    <row r="36" spans="1:22" s="1" customFormat="1" ht="13" outlineLevel="1" x14ac:dyDescent="0.3">
      <c r="D36" s="1" t="s">
        <v>31</v>
      </c>
      <c r="E36" s="2" t="s">
        <v>50</v>
      </c>
      <c r="F36" s="2"/>
      <c r="H36" s="12">
        <f>55*(1+'Анализ чув-ти'!$C$11)</f>
        <v>55</v>
      </c>
      <c r="I36" s="12">
        <f>55*(1+'Анализ чув-ти'!$C$11)</f>
        <v>55</v>
      </c>
      <c r="J36" s="12">
        <f>55*(1+'Анализ чув-ти'!$C$11)</f>
        <v>55</v>
      </c>
      <c r="K36" s="12">
        <f>55*(1+'Анализ чув-ти'!$C$11)</f>
        <v>55</v>
      </c>
      <c r="L36" s="12">
        <f>55*(1+'Анализ чув-ти'!$C$11)</f>
        <v>55</v>
      </c>
      <c r="M36" s="12">
        <f>55*(1+'Анализ чув-ти'!$C$11)</f>
        <v>55</v>
      </c>
      <c r="N36" s="12">
        <f>55*(1+'Анализ чув-ти'!$C$11)</f>
        <v>55</v>
      </c>
      <c r="O36" s="12">
        <f>55*(1+'Анализ чув-ти'!$C$11)</f>
        <v>55</v>
      </c>
      <c r="P36" s="12">
        <f>55*(1+'Анализ чув-ти'!$C$11)</f>
        <v>55</v>
      </c>
      <c r="Q36" s="12">
        <f>55*(1+'Анализ чув-ти'!$C$11)</f>
        <v>55</v>
      </c>
      <c r="R36" s="12">
        <f>55*(1+'Анализ чув-ти'!$C$11)</f>
        <v>55</v>
      </c>
      <c r="S36" s="12">
        <f>55*(1+'Анализ чув-ти'!$C$11)</f>
        <v>55</v>
      </c>
      <c r="T36" s="12">
        <f>55*(1+'Анализ чув-ти'!$C$11)</f>
        <v>55</v>
      </c>
      <c r="U36" s="12">
        <f>55*(1+'Анализ чув-ти'!$C$11)</f>
        <v>55</v>
      </c>
      <c r="V36" s="12">
        <f>55*(1+'Анализ чув-ти'!$C$11)</f>
        <v>55</v>
      </c>
    </row>
    <row r="37" spans="1:22" s="1" customFormat="1" ht="13" outlineLevel="1" x14ac:dyDescent="0.3">
      <c r="D37" s="1" t="s">
        <v>32</v>
      </c>
      <c r="E37" s="2" t="s">
        <v>50</v>
      </c>
      <c r="F37" s="2"/>
      <c r="H37" s="12">
        <f>155*(1+'Анализ чув-ти'!$C$11)</f>
        <v>155</v>
      </c>
      <c r="I37" s="12">
        <f>155*(1+'Анализ чув-ти'!$C$11)</f>
        <v>155</v>
      </c>
      <c r="J37" s="12">
        <f>155*(1+'Анализ чув-ти'!$C$11)</f>
        <v>155</v>
      </c>
      <c r="K37" s="12">
        <f>155*(1+'Анализ чув-ти'!$C$11)</f>
        <v>155</v>
      </c>
      <c r="L37" s="12">
        <f>155*(1+'Анализ чув-ти'!$C$11)</f>
        <v>155</v>
      </c>
      <c r="M37" s="12">
        <f>155*(1+'Анализ чув-ти'!$C$11)</f>
        <v>155</v>
      </c>
      <c r="N37" s="12">
        <f>155*(1+'Анализ чув-ти'!$C$11)</f>
        <v>155</v>
      </c>
      <c r="O37" s="12">
        <f>155*(1+'Анализ чув-ти'!$C$11)</f>
        <v>155</v>
      </c>
      <c r="P37" s="12">
        <f>155*(1+'Анализ чув-ти'!$C$11)</f>
        <v>155</v>
      </c>
      <c r="Q37" s="12">
        <f>155*(1+'Анализ чув-ти'!$C$11)</f>
        <v>155</v>
      </c>
      <c r="R37" s="12">
        <f>155*(1+'Анализ чув-ти'!$C$11)</f>
        <v>155</v>
      </c>
      <c r="S37" s="12">
        <f>155*(1+'Анализ чув-ти'!$C$11)</f>
        <v>155</v>
      </c>
      <c r="T37" s="12">
        <f>155*(1+'Анализ чув-ти'!$C$11)</f>
        <v>155</v>
      </c>
      <c r="U37" s="12">
        <f>155*(1+'Анализ чув-ти'!$C$11)</f>
        <v>155</v>
      </c>
      <c r="V37" s="12">
        <f>155*(1+'Анализ чув-ти'!$C$11)</f>
        <v>155</v>
      </c>
    </row>
    <row r="38" spans="1:22" s="1" customFormat="1" ht="13" outlineLevel="1" x14ac:dyDescent="0.3">
      <c r="D38" s="1" t="s">
        <v>33</v>
      </c>
      <c r="E38" s="2" t="s">
        <v>50</v>
      </c>
      <c r="F38" s="2"/>
      <c r="H38" s="12">
        <f>25*(1+'Анализ чув-ти'!$C$11)</f>
        <v>25</v>
      </c>
      <c r="I38" s="12">
        <f>25*(1+'Анализ чув-ти'!$C$11)</f>
        <v>25</v>
      </c>
      <c r="J38" s="12">
        <f>25*(1+'Анализ чув-ти'!$C$11)</f>
        <v>25</v>
      </c>
      <c r="K38" s="12">
        <f>25*(1+'Анализ чув-ти'!$C$11)</f>
        <v>25</v>
      </c>
      <c r="L38" s="12">
        <f>25*(1+'Анализ чув-ти'!$C$11)</f>
        <v>25</v>
      </c>
      <c r="M38" s="12">
        <f>25*(1+'Анализ чув-ти'!$C$11)</f>
        <v>25</v>
      </c>
      <c r="N38" s="12">
        <f>25*(1+'Анализ чув-ти'!$C$11)</f>
        <v>25</v>
      </c>
      <c r="O38" s="12">
        <f>25*(1+'Анализ чув-ти'!$C$11)</f>
        <v>25</v>
      </c>
      <c r="P38" s="12">
        <f>25*(1+'Анализ чув-ти'!$C$11)</f>
        <v>25</v>
      </c>
      <c r="Q38" s="12">
        <f>25*(1+'Анализ чув-ти'!$C$11)</f>
        <v>25</v>
      </c>
      <c r="R38" s="12">
        <f>25*(1+'Анализ чув-ти'!$C$11)</f>
        <v>25</v>
      </c>
      <c r="S38" s="12">
        <f>25*(1+'Анализ чув-ти'!$C$11)</f>
        <v>25</v>
      </c>
      <c r="T38" s="12">
        <f>25*(1+'Анализ чув-ти'!$C$11)</f>
        <v>25</v>
      </c>
      <c r="U38" s="12">
        <f>25*(1+'Анализ чув-ти'!$C$11)</f>
        <v>25</v>
      </c>
      <c r="V38" s="12">
        <f>25*(1+'Анализ чув-ти'!$C$11)</f>
        <v>25</v>
      </c>
    </row>
    <row r="39" spans="1:22" s="1" customFormat="1" ht="13" outlineLevel="1" x14ac:dyDescent="0.3">
      <c r="D39" s="1" t="s">
        <v>34</v>
      </c>
      <c r="E39" s="2" t="s">
        <v>50</v>
      </c>
      <c r="F39" s="2"/>
      <c r="H39" s="12">
        <f>25*(1+'Анализ чув-ти'!$C$11)</f>
        <v>25</v>
      </c>
      <c r="I39" s="12">
        <f>25*(1+'Анализ чув-ти'!$C$11)</f>
        <v>25</v>
      </c>
      <c r="J39" s="12">
        <f>25*(1+'Анализ чув-ти'!$C$11)</f>
        <v>25</v>
      </c>
      <c r="K39" s="12">
        <f>25*(1+'Анализ чув-ти'!$C$11)</f>
        <v>25</v>
      </c>
      <c r="L39" s="12">
        <f>25*(1+'Анализ чув-ти'!$C$11)</f>
        <v>25</v>
      </c>
      <c r="M39" s="12">
        <f>25*(1+'Анализ чув-ти'!$C$11)</f>
        <v>25</v>
      </c>
      <c r="N39" s="12">
        <f>25*(1+'Анализ чув-ти'!$C$11)</f>
        <v>25</v>
      </c>
      <c r="O39" s="12">
        <f>25*(1+'Анализ чув-ти'!$C$11)</f>
        <v>25</v>
      </c>
      <c r="P39" s="12">
        <f>25*(1+'Анализ чув-ти'!$C$11)</f>
        <v>25</v>
      </c>
      <c r="Q39" s="12">
        <f>25*(1+'Анализ чув-ти'!$C$11)</f>
        <v>25</v>
      </c>
      <c r="R39" s="12">
        <f>25*(1+'Анализ чув-ти'!$C$11)</f>
        <v>25</v>
      </c>
      <c r="S39" s="12">
        <f>25*(1+'Анализ чув-ти'!$C$11)</f>
        <v>25</v>
      </c>
      <c r="T39" s="12">
        <f>25*(1+'Анализ чув-ти'!$C$11)</f>
        <v>25</v>
      </c>
      <c r="U39" s="12">
        <f>25*(1+'Анализ чув-ти'!$C$11)</f>
        <v>25</v>
      </c>
      <c r="V39" s="12">
        <f>25*(1+'Анализ чув-ти'!$C$11)</f>
        <v>25</v>
      </c>
    </row>
    <row r="40" spans="1:22" outlineLevel="1" x14ac:dyDescent="0.35">
      <c r="D40" s="1" t="s">
        <v>35</v>
      </c>
      <c r="E40" s="2" t="s">
        <v>51</v>
      </c>
      <c r="H40" s="12">
        <f>2*(1+'Анализ чув-ти'!$C$11)</f>
        <v>2</v>
      </c>
      <c r="I40" s="12">
        <f>2*(1+'Анализ чув-ти'!$C$11)</f>
        <v>2</v>
      </c>
      <c r="J40" s="12">
        <f>2*(1+'Анализ чув-ти'!$C$11)</f>
        <v>2</v>
      </c>
      <c r="K40" s="12">
        <f>2*(1+'Анализ чув-ти'!$C$11)</f>
        <v>2</v>
      </c>
      <c r="L40" s="12">
        <f>2*(1+'Анализ чув-ти'!$C$11)</f>
        <v>2</v>
      </c>
      <c r="M40" s="12">
        <f>2*(1+'Анализ чув-ти'!$C$11)</f>
        <v>2</v>
      </c>
      <c r="N40" s="12">
        <f>2*(1+'Анализ чув-ти'!$C$11)</f>
        <v>2</v>
      </c>
      <c r="O40" s="12">
        <f>2*(1+'Анализ чув-ти'!$C$11)</f>
        <v>2</v>
      </c>
      <c r="P40" s="12">
        <f>2*(1+'Анализ чув-ти'!$C$11)</f>
        <v>2</v>
      </c>
      <c r="Q40" s="12">
        <f>2*(1+'Анализ чув-ти'!$C$11)</f>
        <v>2</v>
      </c>
      <c r="R40" s="12">
        <f>2*(1+'Анализ чув-ти'!$C$11)</f>
        <v>2</v>
      </c>
      <c r="S40" s="12">
        <f>2*(1+'Анализ чув-ти'!$C$11)</f>
        <v>2</v>
      </c>
      <c r="T40" s="12">
        <f>2*(1+'Анализ чув-ти'!$C$11)</f>
        <v>2</v>
      </c>
      <c r="U40" s="12">
        <f>2*(1+'Анализ чув-ти'!$C$11)</f>
        <v>2</v>
      </c>
      <c r="V40" s="12">
        <f>2*(1+'Анализ чув-ти'!$C$11)</f>
        <v>2</v>
      </c>
    </row>
    <row r="42" spans="1:22" s="10" customFormat="1" ht="13" x14ac:dyDescent="0.3">
      <c r="A42" s="10">
        <v>5</v>
      </c>
      <c r="B42" s="10" t="s">
        <v>20</v>
      </c>
      <c r="E42" s="11"/>
      <c r="F42" s="11"/>
    </row>
    <row r="43" spans="1:22" s="1" customFormat="1" ht="13" outlineLevel="1" x14ac:dyDescent="0.3">
      <c r="E43" s="2"/>
    </row>
    <row r="44" spans="1:22" s="1" customFormat="1" outlineLevel="1" x14ac:dyDescent="0.35">
      <c r="D44" s="1" t="s">
        <v>34</v>
      </c>
      <c r="E44" s="2" t="s">
        <v>52</v>
      </c>
      <c r="F44" s="2"/>
      <c r="H44" s="12">
        <v>700</v>
      </c>
      <c r="I44"/>
      <c r="J44"/>
      <c r="K44"/>
      <c r="L44"/>
      <c r="M44"/>
      <c r="N44"/>
      <c r="O44"/>
      <c r="P44"/>
      <c r="Q44"/>
      <c r="R44"/>
      <c r="S44"/>
      <c r="T44"/>
      <c r="U44"/>
      <c r="V44"/>
    </row>
    <row r="45" spans="1:22" s="1" customFormat="1" outlineLevel="1" x14ac:dyDescent="0.35">
      <c r="D45" s="1" t="s">
        <v>35</v>
      </c>
      <c r="E45" s="2" t="s">
        <v>53</v>
      </c>
      <c r="F45" s="2"/>
      <c r="H45" s="12">
        <v>5.0000000000000001E-3</v>
      </c>
      <c r="I45"/>
      <c r="J45"/>
      <c r="K45"/>
      <c r="L45"/>
      <c r="M45"/>
      <c r="N45"/>
      <c r="O45"/>
      <c r="P45"/>
      <c r="Q45"/>
      <c r="R45"/>
      <c r="S45"/>
      <c r="T45"/>
      <c r="U45"/>
      <c r="V45"/>
    </row>
    <row r="47" spans="1:22" s="10" customFormat="1" ht="13" x14ac:dyDescent="0.3">
      <c r="A47" s="10">
        <v>6</v>
      </c>
      <c r="B47" s="10" t="s">
        <v>26</v>
      </c>
      <c r="E47" s="11"/>
      <c r="F47" s="11"/>
    </row>
    <row r="48" spans="1:22" s="1" customFormat="1" ht="13" outlineLevel="1" x14ac:dyDescent="0.3">
      <c r="E48" s="2"/>
    </row>
    <row r="49" spans="1:22" s="1" customFormat="1" ht="13" outlineLevel="1" x14ac:dyDescent="0.3">
      <c r="D49" s="1" t="s">
        <v>57</v>
      </c>
      <c r="E49" s="2" t="s">
        <v>63</v>
      </c>
      <c r="F49" s="2"/>
      <c r="H49" s="15">
        <f>CHOOSE($L$9,H55,H56)</f>
        <v>0</v>
      </c>
      <c r="I49" s="15">
        <f t="shared" ref="I49:V49" si="2">CHOOSE($L$9,I55,I56)</f>
        <v>0</v>
      </c>
      <c r="J49" s="15">
        <f t="shared" si="2"/>
        <v>0</v>
      </c>
      <c r="K49" s="15">
        <f t="shared" si="2"/>
        <v>0</v>
      </c>
      <c r="L49" s="15">
        <f t="shared" si="2"/>
        <v>0</v>
      </c>
      <c r="M49" s="15">
        <f t="shared" si="2"/>
        <v>0</v>
      </c>
      <c r="N49" s="15">
        <f t="shared" si="2"/>
        <v>0</v>
      </c>
      <c r="O49" s="15">
        <f t="shared" si="2"/>
        <v>0</v>
      </c>
      <c r="P49" s="15">
        <f t="shared" si="2"/>
        <v>0</v>
      </c>
      <c r="Q49" s="15">
        <f t="shared" si="2"/>
        <v>0</v>
      </c>
      <c r="R49" s="15">
        <f t="shared" si="2"/>
        <v>0</v>
      </c>
      <c r="S49" s="15">
        <f t="shared" si="2"/>
        <v>0</v>
      </c>
      <c r="T49" s="15">
        <f t="shared" si="2"/>
        <v>0</v>
      </c>
      <c r="U49" s="15">
        <f t="shared" si="2"/>
        <v>0</v>
      </c>
      <c r="V49" s="15">
        <f t="shared" si="2"/>
        <v>0</v>
      </c>
    </row>
    <row r="50" spans="1:22" s="1" customFormat="1" ht="13" outlineLevel="1" x14ac:dyDescent="0.3">
      <c r="D50" s="1" t="s">
        <v>60</v>
      </c>
      <c r="E50" s="2" t="s">
        <v>62</v>
      </c>
      <c r="F50" s="2"/>
      <c r="H50" s="15">
        <f>CHOOSE($L$9,H58,H59)</f>
        <v>2500</v>
      </c>
      <c r="I50" s="15">
        <f t="shared" ref="I50:V50" si="3">CHOOSE($L$9,I58,I59)</f>
        <v>2500</v>
      </c>
      <c r="J50" s="15">
        <f t="shared" si="3"/>
        <v>2500</v>
      </c>
      <c r="K50" s="15">
        <f t="shared" si="3"/>
        <v>2500</v>
      </c>
      <c r="L50" s="15">
        <f t="shared" si="3"/>
        <v>2500</v>
      </c>
      <c r="M50" s="15">
        <f t="shared" si="3"/>
        <v>2500</v>
      </c>
      <c r="N50" s="15">
        <f t="shared" si="3"/>
        <v>2500</v>
      </c>
      <c r="O50" s="15">
        <f t="shared" si="3"/>
        <v>2500</v>
      </c>
      <c r="P50" s="15">
        <f t="shared" si="3"/>
        <v>2500</v>
      </c>
      <c r="Q50" s="15">
        <f t="shared" si="3"/>
        <v>2500</v>
      </c>
      <c r="R50" s="15">
        <f t="shared" si="3"/>
        <v>2500</v>
      </c>
      <c r="S50" s="15">
        <f t="shared" si="3"/>
        <v>2500</v>
      </c>
      <c r="T50" s="15">
        <f t="shared" si="3"/>
        <v>2500</v>
      </c>
      <c r="U50" s="15">
        <f t="shared" si="3"/>
        <v>2500</v>
      </c>
      <c r="V50" s="15">
        <f t="shared" si="3"/>
        <v>2500</v>
      </c>
    </row>
    <row r="51" spans="1:22" s="1" customFormat="1" ht="13" outlineLevel="1" x14ac:dyDescent="0.3">
      <c r="D51" s="1" t="s">
        <v>32</v>
      </c>
      <c r="E51" s="2" t="s">
        <v>62</v>
      </c>
      <c r="F51" s="2"/>
      <c r="H51" s="15">
        <v>100</v>
      </c>
      <c r="I51" s="15">
        <v>100</v>
      </c>
      <c r="J51" s="15">
        <v>100</v>
      </c>
      <c r="K51" s="15">
        <v>100</v>
      </c>
      <c r="L51" s="15">
        <v>100</v>
      </c>
      <c r="M51" s="15">
        <v>100</v>
      </c>
      <c r="N51" s="15">
        <v>100</v>
      </c>
      <c r="O51" s="15">
        <v>100</v>
      </c>
      <c r="P51" s="15">
        <v>100</v>
      </c>
      <c r="Q51" s="15">
        <v>100</v>
      </c>
      <c r="R51" s="15">
        <v>100</v>
      </c>
      <c r="S51" s="15">
        <v>100</v>
      </c>
      <c r="T51" s="15">
        <v>100</v>
      </c>
      <c r="U51" s="15">
        <v>100</v>
      </c>
      <c r="V51" s="15">
        <v>100</v>
      </c>
    </row>
    <row r="52" spans="1:22" s="1" customFormat="1" ht="13" outlineLevel="1" x14ac:dyDescent="0.3">
      <c r="D52" s="1" t="s">
        <v>33</v>
      </c>
      <c r="E52" s="2" t="s">
        <v>62</v>
      </c>
      <c r="F52" s="2"/>
      <c r="H52" s="15">
        <v>500</v>
      </c>
      <c r="I52" s="15">
        <v>500</v>
      </c>
      <c r="J52" s="15">
        <v>500</v>
      </c>
      <c r="K52" s="15">
        <v>500</v>
      </c>
      <c r="L52" s="15">
        <v>500</v>
      </c>
      <c r="M52" s="15">
        <v>500</v>
      </c>
      <c r="N52" s="15">
        <v>500</v>
      </c>
      <c r="O52" s="15">
        <v>500</v>
      </c>
      <c r="P52" s="15">
        <v>500</v>
      </c>
      <c r="Q52" s="15">
        <v>500</v>
      </c>
      <c r="R52" s="15">
        <v>500</v>
      </c>
      <c r="S52" s="15">
        <v>500</v>
      </c>
      <c r="T52" s="15">
        <v>500</v>
      </c>
      <c r="U52" s="15">
        <v>500</v>
      </c>
      <c r="V52" s="15">
        <v>500</v>
      </c>
    </row>
    <row r="53" spans="1:22" s="1" customFormat="1" ht="13" outlineLevel="1" x14ac:dyDescent="0.3">
      <c r="D53" s="1" t="s">
        <v>90</v>
      </c>
      <c r="E53" s="2" t="s">
        <v>2</v>
      </c>
      <c r="F53" s="2"/>
      <c r="H53" s="21">
        <v>0.03</v>
      </c>
      <c r="I53" s="21">
        <v>0.03</v>
      </c>
      <c r="J53" s="21">
        <v>0.03</v>
      </c>
      <c r="K53" s="21">
        <v>0.03</v>
      </c>
      <c r="L53" s="21">
        <v>0.03</v>
      </c>
      <c r="M53" s="21">
        <v>0.03</v>
      </c>
      <c r="N53" s="21">
        <v>0.03</v>
      </c>
      <c r="O53" s="21">
        <v>0.03</v>
      </c>
      <c r="P53" s="21">
        <v>0.03</v>
      </c>
      <c r="Q53" s="21">
        <v>0.03</v>
      </c>
      <c r="R53" s="21">
        <v>0.03</v>
      </c>
      <c r="S53" s="21">
        <v>0.03</v>
      </c>
      <c r="T53" s="21">
        <v>0.03</v>
      </c>
      <c r="U53" s="21">
        <v>0.03</v>
      </c>
      <c r="V53" s="21">
        <v>0.03</v>
      </c>
    </row>
    <row r="54" spans="1:22" s="1" customFormat="1" ht="12" customHeight="1" outlineLevel="1" x14ac:dyDescent="0.35">
      <c r="E54" s="2"/>
      <c r="F54" s="2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</row>
    <row r="55" spans="1:22" s="1" customFormat="1" ht="13" outlineLevel="1" x14ac:dyDescent="0.3">
      <c r="D55" s="1" t="s">
        <v>55</v>
      </c>
      <c r="E55" s="2" t="s">
        <v>63</v>
      </c>
      <c r="F55" s="2"/>
      <c r="H55" s="15">
        <v>25000</v>
      </c>
      <c r="I55" s="15">
        <v>25000</v>
      </c>
      <c r="J55" s="15">
        <v>25000</v>
      </c>
      <c r="K55" s="15">
        <v>25000</v>
      </c>
      <c r="L55" s="15">
        <v>25000</v>
      </c>
      <c r="M55" s="15">
        <v>25000</v>
      </c>
      <c r="N55" s="15">
        <v>25000</v>
      </c>
      <c r="O55" s="15">
        <v>25000</v>
      </c>
      <c r="P55" s="15">
        <v>25000</v>
      </c>
      <c r="Q55" s="15">
        <v>25000</v>
      </c>
      <c r="R55" s="15">
        <v>25000</v>
      </c>
      <c r="S55" s="15">
        <v>25000</v>
      </c>
      <c r="T55" s="15">
        <v>25000</v>
      </c>
      <c r="U55" s="15">
        <v>25000</v>
      </c>
      <c r="V55" s="15">
        <v>25000</v>
      </c>
    </row>
    <row r="56" spans="1:22" s="1" customFormat="1" ht="13" outlineLevel="1" x14ac:dyDescent="0.3">
      <c r="D56" s="1" t="s">
        <v>56</v>
      </c>
      <c r="E56" s="2" t="s">
        <v>63</v>
      </c>
      <c r="F56" s="2"/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</row>
    <row r="57" spans="1:22" s="1" customFormat="1" ht="12" customHeight="1" outlineLevel="1" x14ac:dyDescent="0.35">
      <c r="E57" s="2"/>
      <c r="F57" s="2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</row>
    <row r="58" spans="1:22" s="1" customFormat="1" ht="13" outlineLevel="1" x14ac:dyDescent="0.3">
      <c r="D58" s="1" t="s">
        <v>58</v>
      </c>
      <c r="E58" s="2" t="s">
        <v>62</v>
      </c>
      <c r="F58" s="2"/>
      <c r="H58" s="15">
        <v>1500</v>
      </c>
      <c r="I58" s="15">
        <v>1500</v>
      </c>
      <c r="J58" s="15">
        <v>1500</v>
      </c>
      <c r="K58" s="15">
        <v>1500</v>
      </c>
      <c r="L58" s="15">
        <v>1500</v>
      </c>
      <c r="M58" s="15">
        <v>1500</v>
      </c>
      <c r="N58" s="15">
        <v>1500</v>
      </c>
      <c r="O58" s="15">
        <v>1500</v>
      </c>
      <c r="P58" s="15">
        <v>1500</v>
      </c>
      <c r="Q58" s="15">
        <v>1500</v>
      </c>
      <c r="R58" s="15">
        <v>1500</v>
      </c>
      <c r="S58" s="15">
        <v>1500</v>
      </c>
      <c r="T58" s="15">
        <v>1500</v>
      </c>
      <c r="U58" s="15">
        <v>1500</v>
      </c>
      <c r="V58" s="15">
        <v>1500</v>
      </c>
    </row>
    <row r="59" spans="1:22" s="1" customFormat="1" ht="13" outlineLevel="1" x14ac:dyDescent="0.3">
      <c r="D59" s="1" t="s">
        <v>59</v>
      </c>
      <c r="E59" s="2" t="s">
        <v>62</v>
      </c>
      <c r="F59" s="2"/>
      <c r="H59" s="15">
        <v>2500</v>
      </c>
      <c r="I59" s="15">
        <v>2500</v>
      </c>
      <c r="J59" s="15">
        <v>2500</v>
      </c>
      <c r="K59" s="15">
        <v>2500</v>
      </c>
      <c r="L59" s="15">
        <v>2500</v>
      </c>
      <c r="M59" s="15">
        <v>2500</v>
      </c>
      <c r="N59" s="15">
        <v>2500</v>
      </c>
      <c r="O59" s="15">
        <v>2500</v>
      </c>
      <c r="P59" s="15">
        <v>2500</v>
      </c>
      <c r="Q59" s="15">
        <v>2500</v>
      </c>
      <c r="R59" s="15">
        <v>2500</v>
      </c>
      <c r="S59" s="15">
        <v>2500</v>
      </c>
      <c r="T59" s="15">
        <v>2500</v>
      </c>
      <c r="U59" s="15">
        <v>2500</v>
      </c>
      <c r="V59" s="15">
        <v>2500</v>
      </c>
    </row>
    <row r="61" spans="1:22" s="10" customFormat="1" ht="13" x14ac:dyDescent="0.3">
      <c r="A61" s="10">
        <v>7</v>
      </c>
      <c r="B61" s="10" t="s">
        <v>27</v>
      </c>
      <c r="E61" s="11"/>
      <c r="F61" s="11"/>
    </row>
    <row r="62" spans="1:22" s="1" customFormat="1" ht="13" outlineLevel="1" x14ac:dyDescent="0.3">
      <c r="E62" s="2"/>
    </row>
    <row r="63" spans="1:22" s="1" customFormat="1" ht="13" outlineLevel="1" x14ac:dyDescent="0.3">
      <c r="D63" s="1" t="s">
        <v>37</v>
      </c>
      <c r="E63" s="2" t="s">
        <v>54</v>
      </c>
      <c r="F63" s="2"/>
      <c r="H63" s="15">
        <v>20000</v>
      </c>
      <c r="I63" s="15">
        <v>20000</v>
      </c>
      <c r="J63" s="15">
        <v>20000</v>
      </c>
      <c r="K63" s="15">
        <v>20000</v>
      </c>
      <c r="L63" s="15">
        <v>20000</v>
      </c>
      <c r="M63" s="15">
        <v>20000</v>
      </c>
      <c r="N63" s="15">
        <v>20000</v>
      </c>
      <c r="O63" s="15">
        <v>20000</v>
      </c>
      <c r="P63" s="15">
        <v>20000</v>
      </c>
      <c r="Q63" s="15">
        <v>20000</v>
      </c>
      <c r="R63" s="15">
        <v>20000</v>
      </c>
      <c r="S63" s="15">
        <v>20000</v>
      </c>
      <c r="T63" s="15">
        <v>20000</v>
      </c>
      <c r="U63" s="15">
        <v>20000</v>
      </c>
      <c r="V63" s="15">
        <v>20000</v>
      </c>
    </row>
    <row r="64" spans="1:22" s="1" customFormat="1" ht="13" outlineLevel="1" x14ac:dyDescent="0.3">
      <c r="D64" s="1" t="s">
        <v>38</v>
      </c>
      <c r="E64" s="2" t="s">
        <v>54</v>
      </c>
      <c r="F64" s="2"/>
      <c r="H64" s="15">
        <v>5000</v>
      </c>
      <c r="I64" s="15">
        <v>5000</v>
      </c>
      <c r="J64" s="15">
        <v>5000</v>
      </c>
      <c r="K64" s="15">
        <v>5000</v>
      </c>
      <c r="L64" s="15">
        <v>5000</v>
      </c>
      <c r="M64" s="15">
        <v>5000</v>
      </c>
      <c r="N64" s="15">
        <v>5000</v>
      </c>
      <c r="O64" s="15">
        <v>5000</v>
      </c>
      <c r="P64" s="15">
        <v>5000</v>
      </c>
      <c r="Q64" s="15">
        <v>5000</v>
      </c>
      <c r="R64" s="15">
        <v>5000</v>
      </c>
      <c r="S64" s="15">
        <v>5000</v>
      </c>
      <c r="T64" s="15">
        <v>5000</v>
      </c>
      <c r="U64" s="15">
        <v>5000</v>
      </c>
      <c r="V64" s="15">
        <v>5000</v>
      </c>
    </row>
    <row r="65" spans="1:22" s="1" customFormat="1" ht="13" outlineLevel="1" x14ac:dyDescent="0.3">
      <c r="D65" s="1" t="s">
        <v>39</v>
      </c>
      <c r="E65" s="2" t="s">
        <v>54</v>
      </c>
      <c r="F65" s="2"/>
      <c r="H65" s="15">
        <v>5000</v>
      </c>
      <c r="I65" s="15">
        <v>5000</v>
      </c>
      <c r="J65" s="15">
        <v>5000</v>
      </c>
      <c r="K65" s="15">
        <v>5000</v>
      </c>
      <c r="L65" s="15">
        <v>5000</v>
      </c>
      <c r="M65" s="15">
        <v>5000</v>
      </c>
      <c r="N65" s="15">
        <v>5000</v>
      </c>
      <c r="O65" s="15">
        <v>5000</v>
      </c>
      <c r="P65" s="15">
        <v>5000</v>
      </c>
      <c r="Q65" s="15">
        <v>5000</v>
      </c>
      <c r="R65" s="15">
        <v>5000</v>
      </c>
      <c r="S65" s="15">
        <v>5000</v>
      </c>
      <c r="T65" s="15">
        <v>5000</v>
      </c>
      <c r="U65" s="15">
        <v>5000</v>
      </c>
      <c r="V65" s="15">
        <v>5000</v>
      </c>
    </row>
    <row r="67" spans="1:22" s="10" customFormat="1" ht="13" x14ac:dyDescent="0.3">
      <c r="A67" s="10">
        <v>8</v>
      </c>
      <c r="B67" s="10" t="s">
        <v>42</v>
      </c>
      <c r="E67" s="11"/>
      <c r="F67" s="11"/>
    </row>
    <row r="68" spans="1:22" s="1" customFormat="1" ht="13" outlineLevel="1" x14ac:dyDescent="0.3">
      <c r="E68" s="2"/>
    </row>
    <row r="69" spans="1:22" s="1" customFormat="1" ht="13" outlineLevel="1" x14ac:dyDescent="0.3">
      <c r="D69" s="1" t="s">
        <v>40</v>
      </c>
      <c r="E69" s="2" t="s">
        <v>2</v>
      </c>
      <c r="F69" s="2"/>
      <c r="H69" s="22">
        <v>5.0000000000000001E-3</v>
      </c>
      <c r="I69" s="22">
        <v>5.0000000000000001E-3</v>
      </c>
      <c r="J69" s="22">
        <v>5.0000000000000001E-3</v>
      </c>
      <c r="K69" s="22">
        <v>5.0000000000000001E-3</v>
      </c>
      <c r="L69" s="22">
        <v>5.0000000000000001E-3</v>
      </c>
      <c r="M69" s="22">
        <v>5.0000000000000001E-3</v>
      </c>
      <c r="N69" s="22">
        <v>5.0000000000000001E-3</v>
      </c>
      <c r="O69" s="22">
        <v>5.0000000000000001E-3</v>
      </c>
      <c r="P69" s="22">
        <v>5.0000000000000001E-3</v>
      </c>
      <c r="Q69" s="22">
        <v>5.0000000000000001E-3</v>
      </c>
      <c r="R69" s="22">
        <v>5.0000000000000001E-3</v>
      </c>
      <c r="S69" s="22">
        <v>5.0000000000000001E-3</v>
      </c>
      <c r="T69" s="22">
        <v>5.0000000000000001E-3</v>
      </c>
      <c r="U69" s="22">
        <v>5.0000000000000001E-3</v>
      </c>
      <c r="V69" s="22">
        <v>5.0000000000000001E-3</v>
      </c>
    </row>
    <row r="70" spans="1:22" s="1" customFormat="1" ht="13" outlineLevel="1" x14ac:dyDescent="0.3">
      <c r="D70" s="1" t="s">
        <v>41</v>
      </c>
      <c r="E70" s="2" t="s">
        <v>2</v>
      </c>
      <c r="F70" s="2"/>
      <c r="H70" s="22">
        <v>2E-3</v>
      </c>
      <c r="I70" s="22">
        <v>2E-3</v>
      </c>
      <c r="J70" s="22">
        <v>2E-3</v>
      </c>
      <c r="K70" s="22">
        <v>2E-3</v>
      </c>
      <c r="L70" s="22">
        <v>2E-3</v>
      </c>
      <c r="M70" s="22">
        <v>2E-3</v>
      </c>
      <c r="N70" s="22">
        <v>2E-3</v>
      </c>
      <c r="O70" s="22">
        <v>2E-3</v>
      </c>
      <c r="P70" s="22">
        <v>2E-3</v>
      </c>
      <c r="Q70" s="22">
        <v>2E-3</v>
      </c>
      <c r="R70" s="22">
        <v>2E-3</v>
      </c>
      <c r="S70" s="22">
        <v>2E-3</v>
      </c>
      <c r="T70" s="22">
        <v>2E-3</v>
      </c>
      <c r="U70" s="22">
        <v>2E-3</v>
      </c>
      <c r="V70" s="22">
        <v>2E-3</v>
      </c>
    </row>
    <row r="72" spans="1:22" s="10" customFormat="1" ht="13" x14ac:dyDescent="0.3">
      <c r="A72" s="10">
        <v>9</v>
      </c>
      <c r="B72" s="10" t="s">
        <v>21</v>
      </c>
      <c r="E72" s="11"/>
      <c r="F72" s="11"/>
    </row>
    <row r="73" spans="1:22" s="1" customFormat="1" ht="13" outlineLevel="1" x14ac:dyDescent="0.3">
      <c r="E73" s="2"/>
    </row>
    <row r="74" spans="1:22" s="1" customFormat="1" ht="13" outlineLevel="1" x14ac:dyDescent="0.3">
      <c r="D74" s="1" t="s">
        <v>22</v>
      </c>
      <c r="E74" s="2" t="s">
        <v>2</v>
      </c>
      <c r="F74" s="2"/>
      <c r="H74" s="21">
        <v>0.15</v>
      </c>
      <c r="I74" s="21">
        <v>0.15</v>
      </c>
      <c r="J74" s="21">
        <v>0.15</v>
      </c>
      <c r="K74" s="21">
        <v>0.15</v>
      </c>
      <c r="L74" s="21">
        <v>0.15</v>
      </c>
      <c r="M74" s="21">
        <v>0.15</v>
      </c>
      <c r="N74" s="21">
        <v>0.15</v>
      </c>
      <c r="O74" s="21">
        <v>0.15</v>
      </c>
      <c r="P74" s="21">
        <v>0.15</v>
      </c>
      <c r="Q74" s="21">
        <v>0.15</v>
      </c>
      <c r="R74" s="21">
        <v>0.15</v>
      </c>
      <c r="S74" s="21">
        <v>0.15</v>
      </c>
      <c r="T74" s="21">
        <v>0.15</v>
      </c>
      <c r="U74" s="21">
        <v>0.15</v>
      </c>
      <c r="V74" s="21">
        <v>0.15</v>
      </c>
    </row>
    <row r="75" spans="1:22" s="1" customFormat="1" ht="13" outlineLevel="1" x14ac:dyDescent="0.3">
      <c r="D75" s="1" t="s">
        <v>147</v>
      </c>
      <c r="E75" s="2" t="s">
        <v>2</v>
      </c>
      <c r="F75" s="2"/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</row>
    <row r="77" spans="1:22" s="10" customFormat="1" ht="13" x14ac:dyDescent="0.3">
      <c r="A77" s="10">
        <v>10</v>
      </c>
      <c r="B77" s="10" t="s">
        <v>23</v>
      </c>
      <c r="E77" s="11"/>
      <c r="F77" s="11"/>
    </row>
    <row r="78" spans="1:22" s="1" customFormat="1" ht="13" outlineLevel="1" x14ac:dyDescent="0.3">
      <c r="E78" s="2"/>
    </row>
    <row r="79" spans="1:22" s="1" customFormat="1" ht="13" outlineLevel="1" x14ac:dyDescent="0.3">
      <c r="D79" s="1" t="s">
        <v>24</v>
      </c>
      <c r="E79" s="2" t="s">
        <v>54</v>
      </c>
      <c r="F79" s="2"/>
      <c r="H79" s="15">
        <v>50000</v>
      </c>
      <c r="I79" s="15">
        <v>50000</v>
      </c>
      <c r="J79" s="15">
        <v>50000</v>
      </c>
      <c r="K79" s="15">
        <v>50000</v>
      </c>
      <c r="L79" s="15">
        <v>50000</v>
      </c>
      <c r="M79" s="15">
        <v>50000</v>
      </c>
      <c r="N79" s="15">
        <v>50000</v>
      </c>
      <c r="O79" s="15">
        <v>50000</v>
      </c>
      <c r="P79" s="15">
        <v>50000</v>
      </c>
      <c r="Q79" s="15">
        <v>50000</v>
      </c>
      <c r="R79" s="15">
        <v>50000</v>
      </c>
      <c r="S79" s="15">
        <v>50000</v>
      </c>
      <c r="T79" s="15">
        <v>50000</v>
      </c>
      <c r="U79" s="15">
        <v>50000</v>
      </c>
      <c r="V79" s="15">
        <v>50000</v>
      </c>
    </row>
    <row r="80" spans="1:22" s="1" customFormat="1" ht="13" outlineLevel="1" x14ac:dyDescent="0.3">
      <c r="D80" s="1" t="s">
        <v>25</v>
      </c>
      <c r="E80" s="2" t="s">
        <v>54</v>
      </c>
      <c r="F80" s="2"/>
      <c r="H80" s="15">
        <v>100000</v>
      </c>
      <c r="I80" s="15">
        <v>100000</v>
      </c>
      <c r="J80" s="15">
        <v>100000</v>
      </c>
      <c r="K80" s="15">
        <v>100000</v>
      </c>
      <c r="L80" s="15">
        <v>100000</v>
      </c>
      <c r="M80" s="15">
        <v>100000</v>
      </c>
      <c r="N80" s="15">
        <v>100000</v>
      </c>
      <c r="O80" s="15">
        <v>100000</v>
      </c>
      <c r="P80" s="15">
        <v>100000</v>
      </c>
      <c r="Q80" s="15">
        <v>100000</v>
      </c>
      <c r="R80" s="15">
        <v>100000</v>
      </c>
      <c r="S80" s="15">
        <v>100000</v>
      </c>
      <c r="T80" s="15">
        <v>100000</v>
      </c>
      <c r="U80" s="15">
        <v>100000</v>
      </c>
      <c r="V80" s="15">
        <v>100000</v>
      </c>
    </row>
    <row r="81" spans="1:22" s="1" customFormat="1" ht="13" outlineLevel="1" x14ac:dyDescent="0.3">
      <c r="D81" s="1" t="s">
        <v>68</v>
      </c>
      <c r="E81" s="2" t="s">
        <v>54</v>
      </c>
      <c r="F81" s="2"/>
      <c r="H81" s="15">
        <f>CHOOSE($L$9,H83,H84)</f>
        <v>110000</v>
      </c>
      <c r="I81" s="15">
        <f t="shared" ref="I81:J81" si="4">CHOOSE($L$9,I83,I84)</f>
        <v>110000</v>
      </c>
      <c r="J81" s="15">
        <f t="shared" si="4"/>
        <v>110000</v>
      </c>
      <c r="K81" s="15">
        <f t="shared" ref="K81:V81" si="5">CHOOSE($L$9,K83,K84)</f>
        <v>110000</v>
      </c>
      <c r="L81" s="15">
        <f t="shared" si="5"/>
        <v>110000</v>
      </c>
      <c r="M81" s="15">
        <f t="shared" si="5"/>
        <v>110000</v>
      </c>
      <c r="N81" s="15">
        <f t="shared" si="5"/>
        <v>110000</v>
      </c>
      <c r="O81" s="15">
        <f t="shared" si="5"/>
        <v>110000</v>
      </c>
      <c r="P81" s="15">
        <f t="shared" si="5"/>
        <v>110000</v>
      </c>
      <c r="Q81" s="15">
        <f t="shared" si="5"/>
        <v>110000</v>
      </c>
      <c r="R81" s="15">
        <f t="shared" si="5"/>
        <v>110000</v>
      </c>
      <c r="S81" s="15">
        <f t="shared" si="5"/>
        <v>110000</v>
      </c>
      <c r="T81" s="15">
        <f t="shared" si="5"/>
        <v>110000</v>
      </c>
      <c r="U81" s="15">
        <f t="shared" si="5"/>
        <v>110000</v>
      </c>
      <c r="V81" s="15">
        <f t="shared" si="5"/>
        <v>110000</v>
      </c>
    </row>
    <row r="82" spans="1:22" s="1" customFormat="1" ht="12" customHeight="1" outlineLevel="1" x14ac:dyDescent="0.35">
      <c r="E82" s="2"/>
      <c r="F82" s="2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</row>
    <row r="83" spans="1:22" s="1" customFormat="1" ht="13" outlineLevel="1" x14ac:dyDescent="0.3">
      <c r="D83" s="1" t="s">
        <v>66</v>
      </c>
      <c r="E83" s="2" t="s">
        <v>62</v>
      </c>
      <c r="F83" s="2"/>
      <c r="H83" s="15">
        <v>150000</v>
      </c>
      <c r="I83" s="15">
        <v>150000</v>
      </c>
      <c r="J83" s="15">
        <v>150000</v>
      </c>
      <c r="K83" s="15">
        <v>150000</v>
      </c>
      <c r="L83" s="15">
        <v>150000</v>
      </c>
      <c r="M83" s="15">
        <v>150000</v>
      </c>
      <c r="N83" s="15">
        <v>150000</v>
      </c>
      <c r="O83" s="15">
        <v>150000</v>
      </c>
      <c r="P83" s="15">
        <v>150000</v>
      </c>
      <c r="Q83" s="15">
        <v>150000</v>
      </c>
      <c r="R83" s="15">
        <v>150000</v>
      </c>
      <c r="S83" s="15">
        <v>150000</v>
      </c>
      <c r="T83" s="15">
        <v>150000</v>
      </c>
      <c r="U83" s="15">
        <v>150000</v>
      </c>
      <c r="V83" s="15">
        <v>150000</v>
      </c>
    </row>
    <row r="84" spans="1:22" s="1" customFormat="1" ht="13" outlineLevel="1" x14ac:dyDescent="0.3">
      <c r="D84" s="1" t="s">
        <v>67</v>
      </c>
      <c r="E84" s="2" t="s">
        <v>62</v>
      </c>
      <c r="F84" s="2"/>
      <c r="H84" s="15">
        <v>110000</v>
      </c>
      <c r="I84" s="15">
        <v>110000</v>
      </c>
      <c r="J84" s="15">
        <v>110000</v>
      </c>
      <c r="K84" s="15">
        <v>110000</v>
      </c>
      <c r="L84" s="15">
        <v>110000</v>
      </c>
      <c r="M84" s="15">
        <v>110000</v>
      </c>
      <c r="N84" s="15">
        <v>110000</v>
      </c>
      <c r="O84" s="15">
        <v>110000</v>
      </c>
      <c r="P84" s="15">
        <v>110000</v>
      </c>
      <c r="Q84" s="15">
        <v>110000</v>
      </c>
      <c r="R84" s="15">
        <v>110000</v>
      </c>
      <c r="S84" s="15">
        <v>110000</v>
      </c>
      <c r="T84" s="15">
        <v>110000</v>
      </c>
      <c r="U84" s="15">
        <v>110000</v>
      </c>
      <c r="V84" s="15">
        <v>110000</v>
      </c>
    </row>
    <row r="86" spans="1:22" s="10" customFormat="1" ht="13" x14ac:dyDescent="0.3">
      <c r="A86" s="10">
        <v>11</v>
      </c>
      <c r="B86" s="10" t="s">
        <v>88</v>
      </c>
      <c r="E86" s="11"/>
      <c r="F86" s="11"/>
    </row>
    <row r="87" spans="1:22" s="1" customFormat="1" ht="13" outlineLevel="1" x14ac:dyDescent="0.3">
      <c r="E87" s="2"/>
    </row>
    <row r="88" spans="1:22" s="1" customFormat="1" ht="13" outlineLevel="1" x14ac:dyDescent="0.3">
      <c r="D88" s="1" t="s">
        <v>91</v>
      </c>
      <c r="E88" s="2" t="s">
        <v>2</v>
      </c>
      <c r="F88" s="2"/>
      <c r="H88" s="21">
        <v>0.3</v>
      </c>
      <c r="I88" s="21">
        <v>0.3</v>
      </c>
      <c r="J88" s="21">
        <v>0.3</v>
      </c>
      <c r="K88" s="21">
        <v>0.3</v>
      </c>
      <c r="L88" s="21">
        <v>0.3</v>
      </c>
      <c r="M88" s="21">
        <v>0.3</v>
      </c>
      <c r="N88" s="21">
        <v>0.3</v>
      </c>
      <c r="O88" s="21">
        <v>0.3</v>
      </c>
      <c r="P88" s="21">
        <v>0.3</v>
      </c>
      <c r="Q88" s="21">
        <v>0.3</v>
      </c>
      <c r="R88" s="21">
        <v>0.3</v>
      </c>
      <c r="S88" s="21">
        <v>0.3</v>
      </c>
      <c r="T88" s="21">
        <v>0.3</v>
      </c>
      <c r="U88" s="21">
        <v>0.3</v>
      </c>
      <c r="V88" s="21">
        <v>0.3</v>
      </c>
    </row>
  </sheetData>
  <autoFilter ref="H7:L9" xr:uid="{00000000-0009-0000-0000-000000000000}"/>
  <mergeCells count="1">
    <mergeCell ref="H9:K9"/>
  </mergeCells>
  <dataValidations count="1">
    <dataValidation type="list" allowBlank="1" showInputMessage="1" showErrorMessage="1" sqref="H9:K9" xr:uid="{00000000-0002-0000-0000-000000000000}">
      <formula1>"Покупная электроэнергия,Собственная электростанция"</formula1>
    </dataValidation>
  </dataValidation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Y13"/>
  <sheetViews>
    <sheetView zoomScaleNormal="100" workbookViewId="0">
      <selection activeCell="H2" sqref="H2"/>
    </sheetView>
  </sheetViews>
  <sheetFormatPr defaultRowHeight="14.5" outlineLevelRow="1" x14ac:dyDescent="0.35"/>
  <cols>
    <col min="1" max="1" width="3.453125" bestFit="1" customWidth="1"/>
    <col min="2" max="3" width="2.54296875" customWidth="1"/>
    <col min="4" max="4" width="53.7265625" bestFit="1" customWidth="1"/>
    <col min="5" max="5" width="12.453125" bestFit="1" customWidth="1"/>
    <col min="6" max="7" width="2.1796875" customWidth="1"/>
    <col min="8" max="8" width="8.54296875" bestFit="1" customWidth="1"/>
    <col min="21" max="22" width="8" bestFit="1" customWidth="1"/>
  </cols>
  <sheetData>
    <row r="1" spans="1:25" s="4" customFormat="1" ht="12.75" customHeight="1" x14ac:dyDescent="0.3">
      <c r="A1" s="3"/>
      <c r="B1" s="3" t="s">
        <v>0</v>
      </c>
      <c r="E1" s="3"/>
      <c r="G1" s="5"/>
    </row>
    <row r="2" spans="1:25" s="4" customFormat="1" ht="13" x14ac:dyDescent="0.3">
      <c r="D2" s="4" t="s">
        <v>29</v>
      </c>
      <c r="H2" s="6">
        <f t="shared" ref="H2:V2" si="0">период</f>
        <v>1</v>
      </c>
      <c r="I2" s="6">
        <f t="shared" si="0"/>
        <v>2</v>
      </c>
      <c r="J2" s="6">
        <f t="shared" si="0"/>
        <v>3</v>
      </c>
      <c r="K2" s="6">
        <f t="shared" si="0"/>
        <v>4</v>
      </c>
      <c r="L2" s="6">
        <f t="shared" si="0"/>
        <v>5</v>
      </c>
      <c r="M2" s="6">
        <f t="shared" si="0"/>
        <v>6</v>
      </c>
      <c r="N2" s="6">
        <f t="shared" si="0"/>
        <v>7</v>
      </c>
      <c r="O2" s="6">
        <f t="shared" si="0"/>
        <v>8</v>
      </c>
      <c r="P2" s="6">
        <f t="shared" si="0"/>
        <v>9</v>
      </c>
      <c r="Q2" s="6">
        <f t="shared" si="0"/>
        <v>10</v>
      </c>
      <c r="R2" s="6">
        <f t="shared" si="0"/>
        <v>11</v>
      </c>
      <c r="S2" s="6">
        <f t="shared" si="0"/>
        <v>12</v>
      </c>
      <c r="T2" s="6">
        <f t="shared" si="0"/>
        <v>13</v>
      </c>
      <c r="U2" s="6">
        <f t="shared" si="0"/>
        <v>14</v>
      </c>
      <c r="V2" s="6">
        <f t="shared" si="0"/>
        <v>15</v>
      </c>
      <c r="W2" s="6"/>
      <c r="X2" s="6"/>
      <c r="Y2" s="6"/>
    </row>
    <row r="3" spans="1:25" s="4" customFormat="1" ht="13" x14ac:dyDescent="0.3">
      <c r="D3" s="4" t="s">
        <v>19</v>
      </c>
      <c r="E3" s="7"/>
      <c r="G3" s="8"/>
      <c r="H3" s="14">
        <f t="shared" ref="H3:V3" si="1">период_знач</f>
        <v>2020</v>
      </c>
      <c r="I3" s="14">
        <f t="shared" si="1"/>
        <v>2021</v>
      </c>
      <c r="J3" s="14">
        <f t="shared" si="1"/>
        <v>2022</v>
      </c>
      <c r="K3" s="14">
        <f t="shared" si="1"/>
        <v>2023</v>
      </c>
      <c r="L3" s="14">
        <f t="shared" si="1"/>
        <v>2024</v>
      </c>
      <c r="M3" s="14">
        <f t="shared" si="1"/>
        <v>2025</v>
      </c>
      <c r="N3" s="14">
        <f t="shared" si="1"/>
        <v>2026</v>
      </c>
      <c r="O3" s="14">
        <f t="shared" si="1"/>
        <v>2027</v>
      </c>
      <c r="P3" s="14">
        <f t="shared" si="1"/>
        <v>2028</v>
      </c>
      <c r="Q3" s="14">
        <f t="shared" si="1"/>
        <v>2029</v>
      </c>
      <c r="R3" s="14">
        <f t="shared" si="1"/>
        <v>2030</v>
      </c>
      <c r="S3" s="14">
        <f t="shared" si="1"/>
        <v>2031</v>
      </c>
      <c r="T3" s="14">
        <f t="shared" si="1"/>
        <v>2032</v>
      </c>
      <c r="U3" s="14">
        <f t="shared" si="1"/>
        <v>2033</v>
      </c>
      <c r="V3" s="14">
        <f t="shared" si="1"/>
        <v>2034</v>
      </c>
      <c r="W3" s="9"/>
      <c r="X3" s="9"/>
      <c r="Y3" s="9"/>
    </row>
    <row r="5" spans="1:25" s="10" customFormat="1" ht="13" x14ac:dyDescent="0.3">
      <c r="A5" s="10">
        <v>1</v>
      </c>
      <c r="B5" s="10" t="s">
        <v>43</v>
      </c>
      <c r="E5" s="11"/>
      <c r="F5" s="11"/>
    </row>
    <row r="6" spans="1:25" s="1" customFormat="1" ht="13" outlineLevel="1" x14ac:dyDescent="0.3">
      <c r="E6" s="2"/>
    </row>
    <row r="7" spans="1:25" s="1" customFormat="1" ht="13" outlineLevel="1" x14ac:dyDescent="0.3">
      <c r="D7" s="1" t="s">
        <v>44</v>
      </c>
      <c r="E7" s="2" t="s">
        <v>64</v>
      </c>
      <c r="F7" s="2"/>
      <c r="H7" s="12">
        <v>0</v>
      </c>
      <c r="I7" s="12">
        <v>0</v>
      </c>
      <c r="J7" s="12">
        <v>150</v>
      </c>
      <c r="K7" s="12">
        <v>300</v>
      </c>
      <c r="L7" s="12">
        <v>300</v>
      </c>
      <c r="M7" s="12">
        <v>300</v>
      </c>
      <c r="N7" s="12">
        <v>300</v>
      </c>
      <c r="O7" s="12">
        <v>300</v>
      </c>
      <c r="P7" s="12">
        <v>300</v>
      </c>
      <c r="Q7" s="12">
        <v>300</v>
      </c>
      <c r="R7" s="12">
        <v>300</v>
      </c>
      <c r="S7" s="12">
        <v>300</v>
      </c>
      <c r="T7" s="12">
        <v>300</v>
      </c>
      <c r="U7" s="12">
        <v>300</v>
      </c>
      <c r="V7" s="12">
        <v>300</v>
      </c>
    </row>
    <row r="8" spans="1:25" s="1" customFormat="1" ht="13" outlineLevel="1" x14ac:dyDescent="0.3">
      <c r="D8" s="1" t="s">
        <v>44</v>
      </c>
      <c r="E8" s="2" t="s">
        <v>65</v>
      </c>
      <c r="F8" s="2"/>
      <c r="H8" s="12">
        <v>0</v>
      </c>
      <c r="I8" s="12">
        <v>0</v>
      </c>
      <c r="J8" s="12">
        <v>60</v>
      </c>
      <c r="K8" s="12">
        <v>120</v>
      </c>
      <c r="L8" s="12">
        <v>120</v>
      </c>
      <c r="M8" s="12">
        <v>120</v>
      </c>
      <c r="N8" s="12">
        <v>120</v>
      </c>
      <c r="O8" s="12">
        <v>120</v>
      </c>
      <c r="P8" s="12">
        <v>120</v>
      </c>
      <c r="Q8" s="12">
        <v>120</v>
      </c>
      <c r="R8" s="12">
        <v>120</v>
      </c>
      <c r="S8" s="12">
        <v>120</v>
      </c>
      <c r="T8" s="12">
        <v>120</v>
      </c>
      <c r="U8" s="12">
        <v>120</v>
      </c>
      <c r="V8" s="12">
        <v>120</v>
      </c>
    </row>
    <row r="9" spans="1:25" s="1" customFormat="1" ht="13" outlineLevel="1" x14ac:dyDescent="0.3">
      <c r="D9" s="1" t="s">
        <v>45</v>
      </c>
      <c r="E9" s="2" t="s">
        <v>65</v>
      </c>
      <c r="F9" s="2"/>
      <c r="H9" s="12">
        <v>0</v>
      </c>
      <c r="I9" s="12">
        <v>0</v>
      </c>
      <c r="J9" s="12">
        <v>468</v>
      </c>
      <c r="K9" s="12">
        <v>936</v>
      </c>
      <c r="L9" s="12">
        <v>936</v>
      </c>
      <c r="M9" s="12">
        <v>936</v>
      </c>
      <c r="N9" s="12">
        <v>936</v>
      </c>
      <c r="O9" s="12">
        <v>936</v>
      </c>
      <c r="P9" s="12">
        <v>936</v>
      </c>
      <c r="Q9" s="12">
        <v>936</v>
      </c>
      <c r="R9" s="12">
        <v>936</v>
      </c>
      <c r="S9" s="12">
        <v>936</v>
      </c>
      <c r="T9" s="12">
        <v>936</v>
      </c>
      <c r="U9" s="12">
        <v>936</v>
      </c>
      <c r="V9" s="12">
        <v>936</v>
      </c>
    </row>
    <row r="10" spans="1:25" s="1" customFormat="1" ht="13" outlineLevel="1" x14ac:dyDescent="0.3">
      <c r="D10" s="1" t="s">
        <v>46</v>
      </c>
      <c r="E10" s="2" t="s">
        <v>52</v>
      </c>
      <c r="F10" s="2"/>
      <c r="H10" s="12">
        <v>0</v>
      </c>
      <c r="I10" s="12">
        <v>0</v>
      </c>
      <c r="J10" s="12">
        <v>2.8</v>
      </c>
      <c r="K10" s="12">
        <v>2.7</v>
      </c>
      <c r="L10" s="12">
        <v>2.9</v>
      </c>
      <c r="M10" s="12">
        <v>3.5</v>
      </c>
      <c r="N10" s="12">
        <v>3.2</v>
      </c>
      <c r="O10" s="12">
        <v>2.7</v>
      </c>
      <c r="P10" s="12">
        <v>2.6</v>
      </c>
      <c r="Q10" s="12">
        <v>2.6</v>
      </c>
      <c r="R10" s="12">
        <v>2.5</v>
      </c>
      <c r="S10" s="12">
        <v>2.5</v>
      </c>
      <c r="T10" s="12">
        <v>2.4</v>
      </c>
      <c r="U10" s="12">
        <v>2.4</v>
      </c>
      <c r="V10" s="12">
        <v>2.4</v>
      </c>
    </row>
    <row r="11" spans="1:25" s="1" customFormat="1" ht="13" outlineLevel="1" x14ac:dyDescent="0.3">
      <c r="D11" s="1" t="s">
        <v>102</v>
      </c>
      <c r="E11" s="2" t="s">
        <v>52</v>
      </c>
      <c r="F11" s="2"/>
      <c r="H11" s="12">
        <v>0</v>
      </c>
      <c r="I11" s="12">
        <v>0</v>
      </c>
      <c r="J11" s="12">
        <v>5.5</v>
      </c>
      <c r="K11" s="12">
        <v>5.4</v>
      </c>
      <c r="L11" s="12">
        <v>5.6</v>
      </c>
      <c r="M11" s="12">
        <v>5.6</v>
      </c>
      <c r="N11" s="12">
        <v>5.6</v>
      </c>
      <c r="O11" s="12">
        <v>5.6</v>
      </c>
      <c r="P11" s="12">
        <v>5.6</v>
      </c>
      <c r="Q11" s="12">
        <v>5.6</v>
      </c>
      <c r="R11" s="12">
        <v>5.6</v>
      </c>
      <c r="S11" s="12">
        <v>5.5</v>
      </c>
      <c r="T11" s="12">
        <v>5.5</v>
      </c>
      <c r="U11" s="12">
        <v>5.5</v>
      </c>
      <c r="V11" s="12">
        <v>5.5</v>
      </c>
    </row>
    <row r="12" spans="1:25" s="1" customFormat="1" ht="13" outlineLevel="1" x14ac:dyDescent="0.3">
      <c r="D12" s="1" t="s">
        <v>47</v>
      </c>
      <c r="E12" s="2" t="s">
        <v>2</v>
      </c>
      <c r="F12" s="2"/>
      <c r="H12" s="21">
        <v>0.8</v>
      </c>
      <c r="I12" s="21">
        <v>0.8</v>
      </c>
      <c r="J12" s="21">
        <v>0.8</v>
      </c>
      <c r="K12" s="21">
        <v>0.8</v>
      </c>
      <c r="L12" s="21">
        <v>0.8</v>
      </c>
      <c r="M12" s="21">
        <v>0.8</v>
      </c>
      <c r="N12" s="21">
        <v>0.8</v>
      </c>
      <c r="O12" s="21">
        <v>0.8</v>
      </c>
      <c r="P12" s="21">
        <v>0.8</v>
      </c>
      <c r="Q12" s="21">
        <v>0.8</v>
      </c>
      <c r="R12" s="21">
        <v>0.8</v>
      </c>
      <c r="S12" s="21">
        <v>0.8</v>
      </c>
      <c r="T12" s="21">
        <v>0.8</v>
      </c>
      <c r="U12" s="21">
        <v>0.8</v>
      </c>
      <c r="V12" s="21">
        <v>0.8</v>
      </c>
    </row>
    <row r="13" spans="1:25" s="1" customFormat="1" ht="13" outlineLevel="1" x14ac:dyDescent="0.3">
      <c r="D13" s="1" t="s">
        <v>103</v>
      </c>
      <c r="E13" s="2" t="s">
        <v>2</v>
      </c>
      <c r="F13" s="2"/>
      <c r="H13" s="21">
        <v>0.85</v>
      </c>
      <c r="I13" s="21">
        <v>0.85</v>
      </c>
      <c r="J13" s="21">
        <v>0.85</v>
      </c>
      <c r="K13" s="21">
        <v>0.85</v>
      </c>
      <c r="L13" s="21">
        <v>0.85</v>
      </c>
      <c r="M13" s="21">
        <v>0.85</v>
      </c>
      <c r="N13" s="21">
        <v>0.85</v>
      </c>
      <c r="O13" s="21">
        <v>0.85</v>
      </c>
      <c r="P13" s="21">
        <v>0.85</v>
      </c>
      <c r="Q13" s="21">
        <v>0.85</v>
      </c>
      <c r="R13" s="21">
        <v>0.85</v>
      </c>
      <c r="S13" s="21">
        <v>0.85</v>
      </c>
      <c r="T13" s="21">
        <v>0.85</v>
      </c>
      <c r="U13" s="21">
        <v>0.85</v>
      </c>
      <c r="V13" s="21">
        <v>0.85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Y25"/>
  <sheetViews>
    <sheetView workbookViewId="0">
      <selection activeCell="L8" sqref="L8"/>
    </sheetView>
  </sheetViews>
  <sheetFormatPr defaultRowHeight="14.5" outlineLevelRow="1" x14ac:dyDescent="0.35"/>
  <cols>
    <col min="1" max="1" width="3.453125" bestFit="1" customWidth="1"/>
    <col min="2" max="3" width="2.54296875" customWidth="1"/>
    <col min="4" max="4" width="53.7265625" bestFit="1" customWidth="1"/>
    <col min="5" max="5" width="12.453125" bestFit="1" customWidth="1"/>
    <col min="6" max="7" width="2.1796875" customWidth="1"/>
    <col min="8" max="8" width="11.1796875" customWidth="1"/>
    <col min="9" max="9" width="11.26953125" customWidth="1"/>
    <col min="10" max="10" width="9.81640625" customWidth="1"/>
    <col min="21" max="22" width="8" bestFit="1" customWidth="1"/>
  </cols>
  <sheetData>
    <row r="1" spans="1:25" s="4" customFormat="1" ht="12.75" customHeight="1" x14ac:dyDescent="0.3">
      <c r="A1" s="3"/>
      <c r="B1" s="3" t="s">
        <v>0</v>
      </c>
      <c r="E1" s="3"/>
      <c r="G1" s="5"/>
    </row>
    <row r="2" spans="1:25" s="4" customFormat="1" ht="13" x14ac:dyDescent="0.3">
      <c r="D2" s="4" t="s">
        <v>29</v>
      </c>
      <c r="H2" s="6">
        <f t="shared" ref="H2:V2" si="0">период</f>
        <v>1</v>
      </c>
      <c r="I2" s="6">
        <f t="shared" si="0"/>
        <v>2</v>
      </c>
      <c r="J2" s="6">
        <f t="shared" si="0"/>
        <v>3</v>
      </c>
      <c r="K2" s="6">
        <f t="shared" si="0"/>
        <v>4</v>
      </c>
      <c r="L2" s="6">
        <f t="shared" si="0"/>
        <v>5</v>
      </c>
      <c r="M2" s="6">
        <f t="shared" si="0"/>
        <v>6</v>
      </c>
      <c r="N2" s="6">
        <f t="shared" si="0"/>
        <v>7</v>
      </c>
      <c r="O2" s="6">
        <f t="shared" si="0"/>
        <v>8</v>
      </c>
      <c r="P2" s="6">
        <f t="shared" si="0"/>
        <v>9</v>
      </c>
      <c r="Q2" s="6">
        <f t="shared" si="0"/>
        <v>10</v>
      </c>
      <c r="R2" s="6">
        <f t="shared" si="0"/>
        <v>11</v>
      </c>
      <c r="S2" s="6">
        <f t="shared" si="0"/>
        <v>12</v>
      </c>
      <c r="T2" s="6">
        <f t="shared" si="0"/>
        <v>13</v>
      </c>
      <c r="U2" s="6">
        <f t="shared" si="0"/>
        <v>14</v>
      </c>
      <c r="V2" s="6">
        <f t="shared" si="0"/>
        <v>15</v>
      </c>
      <c r="W2" s="6"/>
      <c r="X2" s="6"/>
      <c r="Y2" s="6"/>
    </row>
    <row r="3" spans="1:25" s="4" customFormat="1" ht="13" x14ac:dyDescent="0.3">
      <c r="D3" s="4" t="s">
        <v>19</v>
      </c>
      <c r="E3" s="7"/>
      <c r="G3" s="8"/>
      <c r="H3" s="14">
        <f t="shared" ref="H3:V3" si="1">период_знач</f>
        <v>2020</v>
      </c>
      <c r="I3" s="14">
        <f t="shared" si="1"/>
        <v>2021</v>
      </c>
      <c r="J3" s="14">
        <f t="shared" si="1"/>
        <v>2022</v>
      </c>
      <c r="K3" s="14">
        <f t="shared" si="1"/>
        <v>2023</v>
      </c>
      <c r="L3" s="14">
        <f t="shared" si="1"/>
        <v>2024</v>
      </c>
      <c r="M3" s="14">
        <f t="shared" si="1"/>
        <v>2025</v>
      </c>
      <c r="N3" s="14">
        <f t="shared" si="1"/>
        <v>2026</v>
      </c>
      <c r="O3" s="14">
        <f t="shared" si="1"/>
        <v>2027</v>
      </c>
      <c r="P3" s="14">
        <f t="shared" si="1"/>
        <v>2028</v>
      </c>
      <c r="Q3" s="14">
        <f t="shared" si="1"/>
        <v>2029</v>
      </c>
      <c r="R3" s="14">
        <f t="shared" si="1"/>
        <v>2030</v>
      </c>
      <c r="S3" s="14">
        <f t="shared" si="1"/>
        <v>2031</v>
      </c>
      <c r="T3" s="14">
        <f t="shared" si="1"/>
        <v>2032</v>
      </c>
      <c r="U3" s="14">
        <f t="shared" si="1"/>
        <v>2033</v>
      </c>
      <c r="V3" s="14">
        <f t="shared" si="1"/>
        <v>2034</v>
      </c>
      <c r="W3" s="9"/>
      <c r="X3" s="9"/>
      <c r="Y3" s="9"/>
    </row>
    <row r="5" spans="1:25" s="10" customFormat="1" ht="13" x14ac:dyDescent="0.3">
      <c r="A5" s="10">
        <v>1</v>
      </c>
      <c r="B5" s="10" t="s">
        <v>77</v>
      </c>
      <c r="E5" s="11"/>
      <c r="F5" s="11"/>
    </row>
    <row r="6" spans="1:25" s="1" customFormat="1" outlineLevel="1" x14ac:dyDescent="0.35">
      <c r="E6" s="2"/>
      <c r="H6"/>
    </row>
    <row r="7" spans="1:25" s="1" customFormat="1" outlineLevel="1" x14ac:dyDescent="0.35">
      <c r="D7" s="1" t="s">
        <v>11</v>
      </c>
      <c r="E7" s="2" t="s">
        <v>3</v>
      </c>
      <c r="F7" s="2"/>
      <c r="H7" s="12">
        <f t="shared" ref="H7:V7" si="2">курс</f>
        <v>100</v>
      </c>
      <c r="I7" s="12">
        <f t="shared" si="2"/>
        <v>100</v>
      </c>
      <c r="J7" s="12">
        <f t="shared" si="2"/>
        <v>100</v>
      </c>
      <c r="K7" s="12">
        <f t="shared" si="2"/>
        <v>100</v>
      </c>
      <c r="L7" s="12">
        <f t="shared" si="2"/>
        <v>100</v>
      </c>
      <c r="M7" s="12">
        <f t="shared" si="2"/>
        <v>100</v>
      </c>
      <c r="N7" s="12">
        <f t="shared" si="2"/>
        <v>100</v>
      </c>
      <c r="O7" s="12">
        <f t="shared" si="2"/>
        <v>100</v>
      </c>
      <c r="P7" s="12">
        <f t="shared" si="2"/>
        <v>100</v>
      </c>
      <c r="Q7" s="12">
        <f t="shared" si="2"/>
        <v>100</v>
      </c>
      <c r="R7" s="12">
        <f t="shared" si="2"/>
        <v>100</v>
      </c>
      <c r="S7" s="12">
        <f t="shared" si="2"/>
        <v>100</v>
      </c>
      <c r="T7" s="12">
        <f t="shared" si="2"/>
        <v>100</v>
      </c>
      <c r="U7" s="12">
        <f t="shared" si="2"/>
        <v>100</v>
      </c>
      <c r="V7" s="12">
        <f t="shared" si="2"/>
        <v>100</v>
      </c>
      <c r="W7"/>
    </row>
    <row r="8" spans="1:25" s="1" customFormat="1" outlineLevel="1" x14ac:dyDescent="0.35">
      <c r="D8" s="1" t="s">
        <v>61</v>
      </c>
      <c r="E8" s="2"/>
      <c r="F8" s="2"/>
      <c r="H8" s="37" t="str">
        <f>'Исходные данные'!H9:K9</f>
        <v>Собственная электростанция</v>
      </c>
      <c r="I8" s="37"/>
      <c r="J8" s="37"/>
      <c r="K8" s="37"/>
      <c r="L8">
        <f>'Исходные данные'!L9</f>
        <v>2</v>
      </c>
      <c r="M8"/>
      <c r="N8"/>
      <c r="O8"/>
      <c r="P8"/>
      <c r="Q8"/>
      <c r="R8"/>
      <c r="S8"/>
      <c r="T8"/>
      <c r="U8"/>
      <c r="V8"/>
    </row>
    <row r="10" spans="1:25" s="10" customFormat="1" ht="13" x14ac:dyDescent="0.3">
      <c r="A10" s="10">
        <v>2</v>
      </c>
      <c r="B10" s="10" t="s">
        <v>135</v>
      </c>
      <c r="E10" s="11"/>
      <c r="F10" s="11"/>
    </row>
    <row r="11" spans="1:25" s="1" customFormat="1" ht="13" outlineLevel="1" x14ac:dyDescent="0.3">
      <c r="E11" s="2"/>
    </row>
    <row r="12" spans="1:25" s="1" customFormat="1" ht="13" outlineLevel="1" x14ac:dyDescent="0.3">
      <c r="D12" s="1" t="s">
        <v>69</v>
      </c>
      <c r="E12" s="2" t="s">
        <v>78</v>
      </c>
      <c r="F12" s="2"/>
      <c r="H12" s="15"/>
      <c r="I12" s="15">
        <v>300000</v>
      </c>
      <c r="J12" s="15">
        <v>150000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</row>
    <row r="13" spans="1:25" s="1" customFormat="1" ht="13" outlineLevel="1" x14ac:dyDescent="0.3">
      <c r="D13" s="1" t="s">
        <v>70</v>
      </c>
      <c r="E13" s="2" t="s">
        <v>78</v>
      </c>
      <c r="F13" s="2"/>
      <c r="H13" s="15">
        <f>H14+H15*H7</f>
        <v>0</v>
      </c>
      <c r="I13" s="15">
        <f t="shared" ref="I13:V13" si="3">I14+I15*I7</f>
        <v>350000</v>
      </c>
      <c r="J13" s="15">
        <f t="shared" si="3"/>
        <v>0</v>
      </c>
      <c r="K13" s="15">
        <f t="shared" si="3"/>
        <v>0</v>
      </c>
      <c r="L13" s="15">
        <f t="shared" si="3"/>
        <v>0</v>
      </c>
      <c r="M13" s="15">
        <f t="shared" si="3"/>
        <v>0</v>
      </c>
      <c r="N13" s="15">
        <f t="shared" si="3"/>
        <v>0</v>
      </c>
      <c r="O13" s="15">
        <f t="shared" si="3"/>
        <v>0</v>
      </c>
      <c r="P13" s="15">
        <f t="shared" si="3"/>
        <v>0</v>
      </c>
      <c r="Q13" s="15">
        <f t="shared" si="3"/>
        <v>0</v>
      </c>
      <c r="R13" s="15">
        <f t="shared" si="3"/>
        <v>0</v>
      </c>
      <c r="S13" s="15">
        <f t="shared" si="3"/>
        <v>0</v>
      </c>
      <c r="T13" s="15">
        <f t="shared" si="3"/>
        <v>0</v>
      </c>
      <c r="U13" s="15">
        <f t="shared" si="3"/>
        <v>0</v>
      </c>
      <c r="V13" s="15">
        <f t="shared" si="3"/>
        <v>0</v>
      </c>
    </row>
    <row r="14" spans="1:25" s="1" customFormat="1" ht="13" outlineLevel="1" x14ac:dyDescent="0.3">
      <c r="D14" s="17" t="s">
        <v>71</v>
      </c>
      <c r="E14" s="2" t="s">
        <v>78</v>
      </c>
      <c r="F14" s="2"/>
      <c r="H14" s="15"/>
      <c r="I14" s="15">
        <v>50000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</row>
    <row r="15" spans="1:25" s="1" customFormat="1" ht="13" outlineLevel="1" x14ac:dyDescent="0.3">
      <c r="D15" s="17" t="s">
        <v>72</v>
      </c>
      <c r="E15" s="2" t="s">
        <v>80</v>
      </c>
      <c r="F15" s="2"/>
      <c r="H15" s="15"/>
      <c r="I15" s="15">
        <v>3000</v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</row>
    <row r="16" spans="1:25" s="1" customFormat="1" ht="13" outlineLevel="1" x14ac:dyDescent="0.3">
      <c r="D16" s="1" t="s">
        <v>73</v>
      </c>
      <c r="E16" s="2" t="s">
        <v>78</v>
      </c>
      <c r="F16" s="2"/>
      <c r="H16" s="15">
        <f>H17+H18*H7</f>
        <v>0</v>
      </c>
      <c r="I16" s="15">
        <f t="shared" ref="I16:V16" si="4">I17+I18*I7</f>
        <v>370000</v>
      </c>
      <c r="J16" s="15">
        <f t="shared" si="4"/>
        <v>50000</v>
      </c>
      <c r="K16" s="15">
        <f t="shared" si="4"/>
        <v>0</v>
      </c>
      <c r="L16" s="15">
        <f t="shared" si="4"/>
        <v>0</v>
      </c>
      <c r="M16" s="15">
        <f t="shared" si="4"/>
        <v>0</v>
      </c>
      <c r="N16" s="15">
        <f t="shared" si="4"/>
        <v>0</v>
      </c>
      <c r="O16" s="15">
        <f t="shared" si="4"/>
        <v>0</v>
      </c>
      <c r="P16" s="15">
        <f t="shared" si="4"/>
        <v>0</v>
      </c>
      <c r="Q16" s="15">
        <f t="shared" si="4"/>
        <v>0</v>
      </c>
      <c r="R16" s="15">
        <f t="shared" si="4"/>
        <v>0</v>
      </c>
      <c r="S16" s="15">
        <f t="shared" si="4"/>
        <v>0</v>
      </c>
      <c r="T16" s="15">
        <f t="shared" si="4"/>
        <v>0</v>
      </c>
      <c r="U16" s="15">
        <f t="shared" si="4"/>
        <v>0</v>
      </c>
      <c r="V16" s="15">
        <f t="shared" si="4"/>
        <v>0</v>
      </c>
    </row>
    <row r="17" spans="1:22" s="1" customFormat="1" ht="13" outlineLevel="1" x14ac:dyDescent="0.3">
      <c r="D17" s="17" t="s">
        <v>74</v>
      </c>
      <c r="E17" s="2" t="s">
        <v>78</v>
      </c>
      <c r="F17" s="2"/>
      <c r="H17" s="15"/>
      <c r="I17" s="15">
        <v>70000</v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</row>
    <row r="18" spans="1:22" s="1" customFormat="1" ht="13" outlineLevel="1" x14ac:dyDescent="0.3">
      <c r="D18" s="17" t="s">
        <v>75</v>
      </c>
      <c r="E18" s="2" t="s">
        <v>80</v>
      </c>
      <c r="F18" s="2"/>
      <c r="H18" s="15"/>
      <c r="I18" s="15">
        <v>3000</v>
      </c>
      <c r="J18" s="15">
        <v>500</v>
      </c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</row>
    <row r="19" spans="1:22" s="1" customFormat="1" ht="13" outlineLevel="1" x14ac:dyDescent="0.3">
      <c r="D19" s="1" t="s">
        <v>76</v>
      </c>
      <c r="E19" s="2" t="s">
        <v>78</v>
      </c>
      <c r="F19" s="2"/>
      <c r="H19" s="15"/>
      <c r="I19" s="15">
        <f>CHOOSE($L$8,0,50000)</f>
        <v>50000</v>
      </c>
      <c r="J19" s="15">
        <v>75000</v>
      </c>
      <c r="K19" s="15">
        <v>45000</v>
      </c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</row>
    <row r="20" spans="1:22" s="1" customFormat="1" ht="13" outlineLevel="1" x14ac:dyDescent="0.3">
      <c r="D20" s="1" t="s">
        <v>79</v>
      </c>
      <c r="E20" s="2" t="s">
        <v>78</v>
      </c>
      <c r="F20" s="2"/>
      <c r="H20" s="15">
        <v>40000</v>
      </c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</row>
    <row r="22" spans="1:22" x14ac:dyDescent="0.35">
      <c r="I22" s="18"/>
    </row>
    <row r="23" spans="1:22" s="10" customFormat="1" ht="13" x14ac:dyDescent="0.3">
      <c r="A23" s="10">
        <v>3</v>
      </c>
      <c r="B23" s="10" t="s">
        <v>124</v>
      </c>
      <c r="E23" s="11"/>
      <c r="F23" s="11"/>
    </row>
    <row r="24" spans="1:22" s="1" customFormat="1" ht="13" outlineLevel="1" x14ac:dyDescent="0.3">
      <c r="E24" s="2"/>
    </row>
    <row r="25" spans="1:22" s="1" customFormat="1" outlineLevel="1" x14ac:dyDescent="0.35">
      <c r="D25" s="1" t="s">
        <v>125</v>
      </c>
      <c r="E25" s="2" t="s">
        <v>126</v>
      </c>
      <c r="F25" s="2"/>
      <c r="H25" s="15">
        <v>20</v>
      </c>
      <c r="I25"/>
      <c r="J25"/>
      <c r="K25"/>
      <c r="L25"/>
      <c r="M25"/>
      <c r="N25"/>
      <c r="O25"/>
      <c r="P25"/>
      <c r="Q25"/>
      <c r="R25"/>
      <c r="S25"/>
      <c r="T25"/>
      <c r="U25"/>
      <c r="V25"/>
    </row>
  </sheetData>
  <mergeCells count="1">
    <mergeCell ref="H8:K8"/>
  </mergeCells>
  <dataValidations disablePrompts="1" count="1">
    <dataValidation showDropDown="1" showInputMessage="1" showErrorMessage="1" sqref="H8:K8" xr:uid="{00000000-0002-0000-0200-000000000000}"/>
  </dataValidations>
  <pageMargins left="0.7" right="0.7" top="0.75" bottom="0.75" header="0.3" footer="0.3"/>
  <pageSetup paperSize="9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  <pageSetUpPr fitToPage="1"/>
  </sheetPr>
  <dimension ref="A1:Y20"/>
  <sheetViews>
    <sheetView topLeftCell="E7" zoomScaleNormal="100" workbookViewId="0">
      <selection activeCell="O9" sqref="O9"/>
    </sheetView>
  </sheetViews>
  <sheetFormatPr defaultRowHeight="14.5" outlineLevelRow="1" x14ac:dyDescent="0.35"/>
  <cols>
    <col min="1" max="1" width="3.453125" bestFit="1" customWidth="1"/>
    <col min="2" max="3" width="2.54296875" customWidth="1"/>
    <col min="4" max="4" width="53.7265625" bestFit="1" customWidth="1"/>
    <col min="5" max="5" width="12.453125" bestFit="1" customWidth="1"/>
    <col min="6" max="7" width="2.1796875" customWidth="1"/>
    <col min="8" max="8" width="8.1796875" customWidth="1"/>
    <col min="9" max="9" width="8.7265625" customWidth="1"/>
    <col min="10" max="10" width="11.453125" customWidth="1"/>
    <col min="11" max="11" width="11.7265625" customWidth="1"/>
    <col min="12" max="12" width="11.54296875" customWidth="1"/>
    <col min="13" max="13" width="11.81640625" customWidth="1"/>
    <col min="14" max="14" width="12.7265625" customWidth="1"/>
    <col min="15" max="15" width="13.7265625" customWidth="1"/>
    <col min="16" max="16" width="11" customWidth="1"/>
    <col min="17" max="17" width="11.90625" customWidth="1"/>
    <col min="18" max="18" width="10.7265625" customWidth="1"/>
    <col min="19" max="21" width="10" bestFit="1" customWidth="1"/>
    <col min="22" max="22" width="11.26953125" customWidth="1"/>
  </cols>
  <sheetData>
    <row r="1" spans="1:25" s="4" customFormat="1" ht="12.75" customHeight="1" x14ac:dyDescent="0.3">
      <c r="A1" s="3"/>
      <c r="B1" s="3" t="s">
        <v>0</v>
      </c>
      <c r="E1" s="3"/>
      <c r="G1" s="5"/>
    </row>
    <row r="2" spans="1:25" s="4" customFormat="1" ht="13" x14ac:dyDescent="0.3">
      <c r="D2" s="4" t="s">
        <v>29</v>
      </c>
      <c r="H2" s="6">
        <f t="shared" ref="H2:V2" si="0">период</f>
        <v>1</v>
      </c>
      <c r="I2" s="6">
        <f t="shared" si="0"/>
        <v>2</v>
      </c>
      <c r="J2" s="6">
        <f t="shared" si="0"/>
        <v>3</v>
      </c>
      <c r="K2" s="6">
        <f t="shared" si="0"/>
        <v>4</v>
      </c>
      <c r="L2" s="6">
        <f t="shared" si="0"/>
        <v>5</v>
      </c>
      <c r="M2" s="6">
        <f t="shared" si="0"/>
        <v>6</v>
      </c>
      <c r="N2" s="6">
        <f t="shared" si="0"/>
        <v>7</v>
      </c>
      <c r="O2" s="6">
        <f t="shared" si="0"/>
        <v>8</v>
      </c>
      <c r="P2" s="6">
        <f t="shared" si="0"/>
        <v>9</v>
      </c>
      <c r="Q2" s="6">
        <f t="shared" si="0"/>
        <v>10</v>
      </c>
      <c r="R2" s="6">
        <f t="shared" si="0"/>
        <v>11</v>
      </c>
      <c r="S2" s="6">
        <f t="shared" si="0"/>
        <v>12</v>
      </c>
      <c r="T2" s="6">
        <f t="shared" si="0"/>
        <v>13</v>
      </c>
      <c r="U2" s="6">
        <f t="shared" si="0"/>
        <v>14</v>
      </c>
      <c r="V2" s="6">
        <f t="shared" si="0"/>
        <v>15</v>
      </c>
      <c r="W2" s="6"/>
      <c r="X2" s="6"/>
      <c r="Y2" s="6"/>
    </row>
    <row r="3" spans="1:25" s="4" customFormat="1" ht="13" x14ac:dyDescent="0.3">
      <c r="D3" s="4" t="s">
        <v>19</v>
      </c>
      <c r="E3" s="7"/>
      <c r="G3" s="8"/>
      <c r="H3" s="14">
        <f t="shared" ref="H3:V3" si="1">период_знач</f>
        <v>2020</v>
      </c>
      <c r="I3" s="14">
        <f t="shared" si="1"/>
        <v>2021</v>
      </c>
      <c r="J3" s="14">
        <f t="shared" si="1"/>
        <v>2022</v>
      </c>
      <c r="K3" s="14">
        <f t="shared" si="1"/>
        <v>2023</v>
      </c>
      <c r="L3" s="14">
        <f t="shared" si="1"/>
        <v>2024</v>
      </c>
      <c r="M3" s="14">
        <f t="shared" si="1"/>
        <v>2025</v>
      </c>
      <c r="N3" s="14">
        <f t="shared" si="1"/>
        <v>2026</v>
      </c>
      <c r="O3" s="14">
        <f t="shared" si="1"/>
        <v>2027</v>
      </c>
      <c r="P3" s="14">
        <f t="shared" si="1"/>
        <v>2028</v>
      </c>
      <c r="Q3" s="14">
        <f t="shared" si="1"/>
        <v>2029</v>
      </c>
      <c r="R3" s="14">
        <f t="shared" si="1"/>
        <v>2030</v>
      </c>
      <c r="S3" s="14">
        <f t="shared" si="1"/>
        <v>2031</v>
      </c>
      <c r="T3" s="14">
        <f t="shared" si="1"/>
        <v>2032</v>
      </c>
      <c r="U3" s="14">
        <f t="shared" si="1"/>
        <v>2033</v>
      </c>
      <c r="V3" s="14">
        <f t="shared" si="1"/>
        <v>2034</v>
      </c>
      <c r="W3" s="9"/>
      <c r="X3" s="9"/>
      <c r="Y3" s="9"/>
    </row>
    <row r="5" spans="1:25" s="10" customFormat="1" ht="13" x14ac:dyDescent="0.3">
      <c r="A5" s="10">
        <v>1</v>
      </c>
      <c r="B5" s="10" t="s">
        <v>48</v>
      </c>
      <c r="E5" s="11"/>
      <c r="F5" s="11"/>
    </row>
    <row r="6" spans="1:25" s="1" customFormat="1" ht="13" outlineLevel="1" x14ac:dyDescent="0.3">
      <c r="E6" s="2"/>
    </row>
    <row r="7" spans="1:25" s="1" customFormat="1" ht="13" outlineLevel="1" x14ac:dyDescent="0.3">
      <c r="D7" s="1" t="s">
        <v>101</v>
      </c>
      <c r="E7" s="2" t="s">
        <v>111</v>
      </c>
      <c r="F7" s="2"/>
      <c r="H7" s="12">
        <f>'Горный календарь'!H7</f>
        <v>0</v>
      </c>
      <c r="I7" s="12">
        <f>'Горный календарь'!I7</f>
        <v>0</v>
      </c>
      <c r="J7" s="12">
        <f>'Горный календарь'!J7</f>
        <v>150</v>
      </c>
      <c r="K7" s="12">
        <f>'Горный календарь'!K7</f>
        <v>300</v>
      </c>
      <c r="L7" s="12">
        <f>'Горный календарь'!L7</f>
        <v>300</v>
      </c>
      <c r="M7" s="12">
        <f>'Горный календарь'!M7</f>
        <v>300</v>
      </c>
      <c r="N7" s="12">
        <f>'Горный календарь'!N7</f>
        <v>300</v>
      </c>
      <c r="O7" s="12">
        <f>'Горный календарь'!O7</f>
        <v>300</v>
      </c>
      <c r="P7" s="12">
        <f>'Горный календарь'!P7</f>
        <v>300</v>
      </c>
      <c r="Q7" s="12">
        <f>'Горный календарь'!Q7</f>
        <v>300</v>
      </c>
      <c r="R7" s="12">
        <f>'Горный календарь'!R7</f>
        <v>300</v>
      </c>
      <c r="S7" s="12">
        <f>'Горный календарь'!S7</f>
        <v>300</v>
      </c>
      <c r="T7" s="12">
        <f>'Горный календарь'!T7</f>
        <v>300</v>
      </c>
      <c r="U7" s="12">
        <f>'Горный календарь'!U7</f>
        <v>300</v>
      </c>
      <c r="V7" s="12">
        <f>'Горный календарь'!V7</f>
        <v>300</v>
      </c>
    </row>
    <row r="8" spans="1:25" s="1" customFormat="1" ht="13" outlineLevel="1" x14ac:dyDescent="0.3">
      <c r="D8" s="1" t="s">
        <v>46</v>
      </c>
      <c r="E8" s="2" t="s">
        <v>52</v>
      </c>
      <c r="F8" s="2"/>
      <c r="H8" s="12">
        <f>'Горный календарь'!H10</f>
        <v>0</v>
      </c>
      <c r="I8" s="12">
        <f>'Горный календарь'!I10</f>
        <v>0</v>
      </c>
      <c r="J8" s="12">
        <f>'Горный календарь'!J10</f>
        <v>2.8</v>
      </c>
      <c r="K8" s="12">
        <f>'Горный календарь'!K10</f>
        <v>2.7</v>
      </c>
      <c r="L8" s="12">
        <f>'Горный календарь'!L10</f>
        <v>2.9</v>
      </c>
      <c r="M8" s="12">
        <f>'Горный календарь'!M10</f>
        <v>3.5</v>
      </c>
      <c r="N8" s="12">
        <f>'Горный календарь'!N10</f>
        <v>3.2</v>
      </c>
      <c r="O8" s="12">
        <f>'Горный календарь'!O10</f>
        <v>2.7</v>
      </c>
      <c r="P8" s="12">
        <f>'Горный календарь'!P10</f>
        <v>2.6</v>
      </c>
      <c r="Q8" s="12">
        <f>'Горный календарь'!Q10</f>
        <v>2.6</v>
      </c>
      <c r="R8" s="12">
        <f>'Горный календарь'!R10</f>
        <v>2.5</v>
      </c>
      <c r="S8" s="12">
        <f>'Горный календарь'!S10</f>
        <v>2.5</v>
      </c>
      <c r="T8" s="12">
        <f>'Горный календарь'!T10</f>
        <v>2.4</v>
      </c>
      <c r="U8" s="12">
        <f>'Горный календарь'!U10</f>
        <v>2.4</v>
      </c>
      <c r="V8" s="12">
        <f>'Горный календарь'!V10</f>
        <v>2.4</v>
      </c>
    </row>
    <row r="9" spans="1:25" s="1" customFormat="1" ht="13" outlineLevel="1" x14ac:dyDescent="0.3">
      <c r="D9" s="1" t="s">
        <v>102</v>
      </c>
      <c r="E9" s="2" t="s">
        <v>52</v>
      </c>
      <c r="F9" s="2"/>
      <c r="H9" s="12">
        <f>'Горный календарь'!H11</f>
        <v>0</v>
      </c>
      <c r="I9" s="12">
        <f>'Горный календарь'!I11</f>
        <v>0</v>
      </c>
      <c r="J9" s="12">
        <f>'Горный календарь'!J11</f>
        <v>5.5</v>
      </c>
      <c r="K9" s="12">
        <f>'Горный календарь'!K11</f>
        <v>5.4</v>
      </c>
      <c r="L9" s="12">
        <f>'Горный календарь'!L11</f>
        <v>5.6</v>
      </c>
      <c r="M9" s="12">
        <f>'Горный календарь'!M11</f>
        <v>5.6</v>
      </c>
      <c r="N9" s="12">
        <f>'Горный календарь'!N11</f>
        <v>5.6</v>
      </c>
      <c r="O9" s="12">
        <f>'Горный календарь'!O11</f>
        <v>5.6</v>
      </c>
      <c r="P9" s="12">
        <f>'Горный календарь'!P11</f>
        <v>5.6</v>
      </c>
      <c r="Q9" s="12">
        <f>'Горный календарь'!Q11</f>
        <v>5.6</v>
      </c>
      <c r="R9" s="12">
        <f>'Горный календарь'!R11</f>
        <v>5.6</v>
      </c>
      <c r="S9" s="12">
        <f>'Горный календарь'!S11</f>
        <v>5.5</v>
      </c>
      <c r="T9" s="12">
        <f>'Горный календарь'!T11</f>
        <v>5.5</v>
      </c>
      <c r="U9" s="12">
        <f>'Горный календарь'!U11</f>
        <v>5.5</v>
      </c>
      <c r="V9" s="12">
        <f>'Горный календарь'!V11</f>
        <v>5.5</v>
      </c>
    </row>
    <row r="10" spans="1:25" s="1" customFormat="1" ht="13" outlineLevel="1" x14ac:dyDescent="0.3">
      <c r="D10" s="1" t="s">
        <v>47</v>
      </c>
      <c r="E10" s="2" t="s">
        <v>2</v>
      </c>
      <c r="F10" s="2"/>
      <c r="H10" s="21">
        <f>'Горный календарь'!H12</f>
        <v>0.8</v>
      </c>
      <c r="I10" s="21">
        <f>'Горный календарь'!I12</f>
        <v>0.8</v>
      </c>
      <c r="J10" s="21">
        <f>'Горный календарь'!J12</f>
        <v>0.8</v>
      </c>
      <c r="K10" s="21">
        <f>'Горный календарь'!K12</f>
        <v>0.8</v>
      </c>
      <c r="L10" s="21">
        <f>'Горный календарь'!L12</f>
        <v>0.8</v>
      </c>
      <c r="M10" s="21">
        <f>'Горный календарь'!M12</f>
        <v>0.8</v>
      </c>
      <c r="N10" s="21">
        <f>'Горный календарь'!N12</f>
        <v>0.8</v>
      </c>
      <c r="O10" s="21">
        <f>'Горный календарь'!O12</f>
        <v>0.8</v>
      </c>
      <c r="P10" s="21">
        <f>'Горный календарь'!P12</f>
        <v>0.8</v>
      </c>
      <c r="Q10" s="21">
        <f>'Горный календарь'!Q12</f>
        <v>0.8</v>
      </c>
      <c r="R10" s="21">
        <f>'Горный календарь'!R12</f>
        <v>0.8</v>
      </c>
      <c r="S10" s="21">
        <f>'Горный календарь'!S12</f>
        <v>0.8</v>
      </c>
      <c r="T10" s="21">
        <f>'Горный календарь'!T12</f>
        <v>0.8</v>
      </c>
      <c r="U10" s="21">
        <f>'Горный календарь'!U12</f>
        <v>0.8</v>
      </c>
      <c r="V10" s="21">
        <f>'Горный календарь'!V12</f>
        <v>0.8</v>
      </c>
    </row>
    <row r="11" spans="1:25" s="1" customFormat="1" ht="13" outlineLevel="1" x14ac:dyDescent="0.3">
      <c r="D11" s="1" t="s">
        <v>103</v>
      </c>
      <c r="E11" s="2" t="s">
        <v>2</v>
      </c>
      <c r="F11" s="2"/>
      <c r="H11" s="21">
        <f>'Горный календарь'!H13</f>
        <v>0.85</v>
      </c>
      <c r="I11" s="21">
        <f>'Горный календарь'!I13</f>
        <v>0.85</v>
      </c>
      <c r="J11" s="21">
        <f>'Горный календарь'!J13</f>
        <v>0.85</v>
      </c>
      <c r="K11" s="21">
        <f>'Горный календарь'!K13</f>
        <v>0.85</v>
      </c>
      <c r="L11" s="21">
        <f>'Горный календарь'!L13</f>
        <v>0.85</v>
      </c>
      <c r="M11" s="21">
        <f>'Горный календарь'!M13</f>
        <v>0.85</v>
      </c>
      <c r="N11" s="21">
        <f>'Горный календарь'!N13</f>
        <v>0.85</v>
      </c>
      <c r="O11" s="21">
        <f>'Горный календарь'!O13</f>
        <v>0.85</v>
      </c>
      <c r="P11" s="21">
        <f>'Горный календарь'!P13</f>
        <v>0.85</v>
      </c>
      <c r="Q11" s="21">
        <f>'Горный календарь'!Q13</f>
        <v>0.85</v>
      </c>
      <c r="R11" s="21">
        <f>'Горный календарь'!R13</f>
        <v>0.85</v>
      </c>
      <c r="S11" s="21">
        <f>'Горный календарь'!S13</f>
        <v>0.85</v>
      </c>
      <c r="T11" s="21">
        <f>'Горный календарь'!T13</f>
        <v>0.85</v>
      </c>
      <c r="U11" s="21">
        <f>'Горный календарь'!U13</f>
        <v>0.85</v>
      </c>
      <c r="V11" s="21">
        <f>'Горный календарь'!V13</f>
        <v>0.85</v>
      </c>
    </row>
    <row r="13" spans="1:25" s="10" customFormat="1" ht="13" x14ac:dyDescent="0.3">
      <c r="A13" s="10">
        <v>2</v>
      </c>
      <c r="B13" s="10" t="s">
        <v>104</v>
      </c>
      <c r="E13" s="11"/>
      <c r="F13" s="11"/>
    </row>
    <row r="14" spans="1:25" s="1" customFormat="1" ht="13" outlineLevel="1" x14ac:dyDescent="0.3">
      <c r="E14" s="2"/>
    </row>
    <row r="15" spans="1:25" s="1" customFormat="1" ht="13" outlineLevel="1" x14ac:dyDescent="0.3">
      <c r="D15" s="1" t="s">
        <v>106</v>
      </c>
      <c r="E15" s="2" t="s">
        <v>184</v>
      </c>
      <c r="F15" s="2"/>
      <c r="H15" s="15">
        <f>H7*H8*H10</f>
        <v>0</v>
      </c>
      <c r="I15" s="15">
        <f t="shared" ref="I15:V15" si="2">I7*I8*I10</f>
        <v>0</v>
      </c>
      <c r="J15" s="15">
        <f t="shared" si="2"/>
        <v>336</v>
      </c>
      <c r="K15" s="15">
        <f t="shared" si="2"/>
        <v>648</v>
      </c>
      <c r="L15" s="15">
        <f t="shared" si="2"/>
        <v>696</v>
      </c>
      <c r="M15" s="15">
        <f t="shared" si="2"/>
        <v>840</v>
      </c>
      <c r="N15" s="15">
        <f t="shared" si="2"/>
        <v>768</v>
      </c>
      <c r="O15" s="15">
        <f t="shared" si="2"/>
        <v>648</v>
      </c>
      <c r="P15" s="15">
        <f t="shared" si="2"/>
        <v>624</v>
      </c>
      <c r="Q15" s="15">
        <f t="shared" si="2"/>
        <v>624</v>
      </c>
      <c r="R15" s="15">
        <f t="shared" si="2"/>
        <v>600</v>
      </c>
      <c r="S15" s="15">
        <f t="shared" si="2"/>
        <v>600</v>
      </c>
      <c r="T15" s="15">
        <f t="shared" si="2"/>
        <v>576</v>
      </c>
      <c r="U15" s="15">
        <f t="shared" si="2"/>
        <v>576</v>
      </c>
      <c r="V15" s="15">
        <f t="shared" si="2"/>
        <v>576</v>
      </c>
    </row>
    <row r="16" spans="1:25" s="1" customFormat="1" ht="13" outlineLevel="1" x14ac:dyDescent="0.3">
      <c r="D16" s="1" t="s">
        <v>105</v>
      </c>
      <c r="E16" s="2" t="s">
        <v>184</v>
      </c>
      <c r="F16" s="2"/>
      <c r="H16" s="15">
        <f>H7*H9*H11</f>
        <v>0</v>
      </c>
      <c r="I16" s="15">
        <f t="shared" ref="I16:V16" si="3">I7*I9*I11</f>
        <v>0</v>
      </c>
      <c r="J16" s="15">
        <f t="shared" si="3"/>
        <v>701.25</v>
      </c>
      <c r="K16" s="15">
        <f t="shared" si="3"/>
        <v>1377</v>
      </c>
      <c r="L16" s="15">
        <f t="shared" si="3"/>
        <v>1428</v>
      </c>
      <c r="M16" s="15">
        <f t="shared" si="3"/>
        <v>1428</v>
      </c>
      <c r="N16" s="15">
        <f t="shared" si="3"/>
        <v>1428</v>
      </c>
      <c r="O16" s="15">
        <f t="shared" si="3"/>
        <v>1428</v>
      </c>
      <c r="P16" s="15">
        <f t="shared" si="3"/>
        <v>1428</v>
      </c>
      <c r="Q16" s="15">
        <f t="shared" si="3"/>
        <v>1428</v>
      </c>
      <c r="R16" s="15">
        <f t="shared" si="3"/>
        <v>1428</v>
      </c>
      <c r="S16" s="15">
        <f t="shared" si="3"/>
        <v>1402.5</v>
      </c>
      <c r="T16" s="15">
        <f t="shared" si="3"/>
        <v>1402.5</v>
      </c>
      <c r="U16" s="15">
        <f t="shared" si="3"/>
        <v>1402.5</v>
      </c>
      <c r="V16" s="15">
        <f t="shared" si="3"/>
        <v>1402.5</v>
      </c>
    </row>
    <row r="17" spans="4:22" s="1" customFormat="1" ht="13" outlineLevel="1" x14ac:dyDescent="0.3">
      <c r="D17" s="1" t="s">
        <v>108</v>
      </c>
      <c r="E17" s="2" t="s">
        <v>185</v>
      </c>
      <c r="F17" s="2"/>
      <c r="H17" s="15">
        <f>'Исходные данные'!H29</f>
        <v>3536.5821225490781</v>
      </c>
      <c r="I17" s="15">
        <f>'Исходные данные'!I29</f>
        <v>3536.5821225490781</v>
      </c>
      <c r="J17" s="15">
        <f>'Исходные данные'!J29</f>
        <v>3536.5821225490781</v>
      </c>
      <c r="K17" s="15">
        <f>'Исходные данные'!K29</f>
        <v>3536.5821225490781</v>
      </c>
      <c r="L17" s="15">
        <f>'Исходные данные'!L29</f>
        <v>3536.5821225490781</v>
      </c>
      <c r="M17" s="15">
        <f>'Исходные данные'!M29</f>
        <v>3536.5821225490781</v>
      </c>
      <c r="N17" s="15">
        <f>'Исходные данные'!N29</f>
        <v>3536.5821225490781</v>
      </c>
      <c r="O17" s="15">
        <f>'Исходные данные'!O29</f>
        <v>3536.5821225490781</v>
      </c>
      <c r="P17" s="15">
        <f>'Исходные данные'!P29</f>
        <v>3536.5821225490781</v>
      </c>
      <c r="Q17" s="15">
        <f>'Исходные данные'!Q29</f>
        <v>3536.5821225490781</v>
      </c>
      <c r="R17" s="15">
        <f>'Исходные данные'!R29</f>
        <v>3536.5821225490781</v>
      </c>
      <c r="S17" s="15">
        <f>'Исходные данные'!S29</f>
        <v>3536.5821225490781</v>
      </c>
      <c r="T17" s="15">
        <f>'Исходные данные'!T29</f>
        <v>3536.5821225490781</v>
      </c>
      <c r="U17" s="15">
        <f>'Исходные данные'!U29</f>
        <v>3536.5821225490781</v>
      </c>
      <c r="V17" s="15">
        <f>'Исходные данные'!V29</f>
        <v>3536.5821225490781</v>
      </c>
    </row>
    <row r="18" spans="4:22" s="1" customFormat="1" ht="13" outlineLevel="1" x14ac:dyDescent="0.3">
      <c r="D18" s="1" t="s">
        <v>107</v>
      </c>
      <c r="E18" s="2" t="s">
        <v>185</v>
      </c>
      <c r="F18" s="2"/>
      <c r="H18" s="15">
        <f>'Исходные данные'!H31</f>
        <v>38.58089588235358</v>
      </c>
      <c r="I18" s="15">
        <f>'Исходные данные'!I31</f>
        <v>38.58089588235358</v>
      </c>
      <c r="J18" s="15">
        <f>'Исходные данные'!J31</f>
        <v>38.58089588235358</v>
      </c>
      <c r="K18" s="15">
        <f>'Исходные данные'!K31</f>
        <v>38.58089588235358</v>
      </c>
      <c r="L18" s="15">
        <f>'Исходные данные'!L31</f>
        <v>38.58089588235358</v>
      </c>
      <c r="M18" s="15">
        <f>'Исходные данные'!M31</f>
        <v>38.58089588235358</v>
      </c>
      <c r="N18" s="15">
        <f>'Исходные данные'!N31</f>
        <v>38.58089588235358</v>
      </c>
      <c r="O18" s="15">
        <f>'Исходные данные'!O31</f>
        <v>38.58089588235358</v>
      </c>
      <c r="P18" s="15">
        <f>'Исходные данные'!P31</f>
        <v>38.58089588235358</v>
      </c>
      <c r="Q18" s="15">
        <f>'Исходные данные'!Q31</f>
        <v>38.58089588235358</v>
      </c>
      <c r="R18" s="15">
        <f>'Исходные данные'!R31</f>
        <v>38.58089588235358</v>
      </c>
      <c r="S18" s="15">
        <f>'Исходные данные'!S31</f>
        <v>38.58089588235358</v>
      </c>
      <c r="T18" s="15">
        <f>'Исходные данные'!T31</f>
        <v>38.58089588235358</v>
      </c>
      <c r="U18" s="15">
        <f>'Исходные данные'!U31</f>
        <v>38.58089588235358</v>
      </c>
      <c r="V18" s="15">
        <f>'Исходные данные'!V31</f>
        <v>38.58089588235358</v>
      </c>
    </row>
    <row r="19" spans="4:22" s="1" customFormat="1" ht="13" outlineLevel="1" x14ac:dyDescent="0.3">
      <c r="D19" s="1" t="s">
        <v>110</v>
      </c>
      <c r="E19" s="2" t="s">
        <v>186</v>
      </c>
      <c r="F19" s="2"/>
      <c r="H19" s="15">
        <f>H15*H17</f>
        <v>0</v>
      </c>
      <c r="I19" s="15">
        <f t="shared" ref="I19:V19" si="4">I15*I17</f>
        <v>0</v>
      </c>
      <c r="J19" s="15">
        <f t="shared" si="4"/>
        <v>1188291.5931764902</v>
      </c>
      <c r="K19" s="15">
        <f t="shared" si="4"/>
        <v>2291705.2154118028</v>
      </c>
      <c r="L19" s="15">
        <f t="shared" si="4"/>
        <v>2461461.1572941584</v>
      </c>
      <c r="M19" s="15">
        <f t="shared" si="4"/>
        <v>2970728.9829412256</v>
      </c>
      <c r="N19" s="15">
        <f t="shared" si="4"/>
        <v>2716095.070117692</v>
      </c>
      <c r="O19" s="15">
        <f t="shared" si="4"/>
        <v>2291705.2154118028</v>
      </c>
      <c r="P19" s="15">
        <f t="shared" si="4"/>
        <v>2206827.2444706247</v>
      </c>
      <c r="Q19" s="15">
        <f t="shared" si="4"/>
        <v>2206827.2444706247</v>
      </c>
      <c r="R19" s="15">
        <f t="shared" si="4"/>
        <v>2121949.2735294467</v>
      </c>
      <c r="S19" s="15">
        <f t="shared" si="4"/>
        <v>2121949.2735294467</v>
      </c>
      <c r="T19" s="15">
        <f t="shared" si="4"/>
        <v>2037071.3025882691</v>
      </c>
      <c r="U19" s="15">
        <f t="shared" si="4"/>
        <v>2037071.3025882691</v>
      </c>
      <c r="V19" s="15">
        <f t="shared" si="4"/>
        <v>2037071.3025882691</v>
      </c>
    </row>
    <row r="20" spans="4:22" s="1" customFormat="1" ht="13" outlineLevel="1" x14ac:dyDescent="0.3">
      <c r="D20" s="1" t="s">
        <v>109</v>
      </c>
      <c r="E20" s="2" t="s">
        <v>187</v>
      </c>
      <c r="F20" s="2"/>
      <c r="H20" s="15">
        <f>H16*H18</f>
        <v>0</v>
      </c>
      <c r="I20" s="15">
        <f t="shared" ref="I20:V20" si="5">I16*I18</f>
        <v>0</v>
      </c>
      <c r="J20" s="15">
        <f t="shared" si="5"/>
        <v>27054.853237500447</v>
      </c>
      <c r="K20" s="15">
        <f t="shared" si="5"/>
        <v>53125.893630000879</v>
      </c>
      <c r="L20" s="15">
        <f t="shared" si="5"/>
        <v>55093.519320000916</v>
      </c>
      <c r="M20" s="15">
        <f t="shared" si="5"/>
        <v>55093.519320000916</v>
      </c>
      <c r="N20" s="15">
        <f t="shared" si="5"/>
        <v>55093.519320000916</v>
      </c>
      <c r="O20" s="15">
        <f t="shared" si="5"/>
        <v>55093.519320000916</v>
      </c>
      <c r="P20" s="15">
        <f t="shared" si="5"/>
        <v>55093.519320000916</v>
      </c>
      <c r="Q20" s="15">
        <f t="shared" si="5"/>
        <v>55093.519320000916</v>
      </c>
      <c r="R20" s="15">
        <f t="shared" si="5"/>
        <v>55093.519320000916</v>
      </c>
      <c r="S20" s="15">
        <f t="shared" si="5"/>
        <v>54109.706475000894</v>
      </c>
      <c r="T20" s="15">
        <f t="shared" si="5"/>
        <v>54109.706475000894</v>
      </c>
      <c r="U20" s="15">
        <f t="shared" si="5"/>
        <v>54109.706475000894</v>
      </c>
      <c r="V20" s="15">
        <f t="shared" si="5"/>
        <v>54109.706475000894</v>
      </c>
    </row>
  </sheetData>
  <pageMargins left="0.70866141732283472" right="0.70866141732283472" top="0.74803149606299213" bottom="0.74803149606299213" header="0.31496062992125984" footer="0.31496062992125984"/>
  <pageSetup paperSize="9" scale="52" fitToHeight="3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  <pageSetUpPr fitToPage="1"/>
  </sheetPr>
  <dimension ref="A1:Y50"/>
  <sheetViews>
    <sheetView zoomScaleNormal="100" workbookViewId="0">
      <selection activeCell="D11" sqref="D11"/>
    </sheetView>
  </sheetViews>
  <sheetFormatPr defaultRowHeight="14.5" outlineLevelRow="1" x14ac:dyDescent="0.35"/>
  <cols>
    <col min="1" max="1" width="3.453125" bestFit="1" customWidth="1"/>
    <col min="2" max="3" width="2.54296875" customWidth="1"/>
    <col min="4" max="4" width="53.7265625" bestFit="1" customWidth="1"/>
    <col min="5" max="5" width="12.453125" bestFit="1" customWidth="1"/>
    <col min="6" max="7" width="2.1796875" customWidth="1"/>
    <col min="8" max="8" width="11" customWidth="1"/>
    <col min="9" max="9" width="11.453125" customWidth="1"/>
    <col min="10" max="10" width="13.7265625" customWidth="1"/>
    <col min="11" max="11" width="12.54296875" customWidth="1"/>
    <col min="12" max="12" width="12.81640625" customWidth="1"/>
    <col min="13" max="13" width="12.7265625" customWidth="1"/>
    <col min="14" max="14" width="14" customWidth="1"/>
    <col min="15" max="22" width="10" bestFit="1" customWidth="1"/>
  </cols>
  <sheetData>
    <row r="1" spans="1:25" s="4" customFormat="1" ht="12.75" customHeight="1" x14ac:dyDescent="0.3">
      <c r="A1" s="3"/>
      <c r="B1" s="3" t="s">
        <v>0</v>
      </c>
      <c r="E1" s="3"/>
      <c r="G1" s="5"/>
    </row>
    <row r="2" spans="1:25" s="4" customFormat="1" ht="13" x14ac:dyDescent="0.3">
      <c r="D2" s="4" t="s">
        <v>29</v>
      </c>
      <c r="H2" s="6">
        <f t="shared" ref="H2:V2" si="0">период</f>
        <v>1</v>
      </c>
      <c r="I2" s="6">
        <f t="shared" si="0"/>
        <v>2</v>
      </c>
      <c r="J2" s="6">
        <f t="shared" si="0"/>
        <v>3</v>
      </c>
      <c r="K2" s="6">
        <f t="shared" si="0"/>
        <v>4</v>
      </c>
      <c r="L2" s="6">
        <f t="shared" si="0"/>
        <v>5</v>
      </c>
      <c r="M2" s="6">
        <f t="shared" si="0"/>
        <v>6</v>
      </c>
      <c r="N2" s="6">
        <f t="shared" si="0"/>
        <v>7</v>
      </c>
      <c r="O2" s="6">
        <f t="shared" si="0"/>
        <v>8</v>
      </c>
      <c r="P2" s="6">
        <f t="shared" si="0"/>
        <v>9</v>
      </c>
      <c r="Q2" s="6">
        <f t="shared" si="0"/>
        <v>10</v>
      </c>
      <c r="R2" s="6">
        <f t="shared" si="0"/>
        <v>11</v>
      </c>
      <c r="S2" s="6">
        <f t="shared" si="0"/>
        <v>12</v>
      </c>
      <c r="T2" s="6">
        <f t="shared" si="0"/>
        <v>13</v>
      </c>
      <c r="U2" s="6">
        <f t="shared" si="0"/>
        <v>14</v>
      </c>
      <c r="V2" s="6">
        <f t="shared" si="0"/>
        <v>15</v>
      </c>
      <c r="W2" s="6"/>
      <c r="X2" s="6"/>
      <c r="Y2" s="6"/>
    </row>
    <row r="3" spans="1:25" s="4" customFormat="1" ht="13" x14ac:dyDescent="0.3">
      <c r="D3" s="4" t="s">
        <v>19</v>
      </c>
      <c r="E3" s="7"/>
      <c r="G3" s="8"/>
      <c r="H3" s="14">
        <f t="shared" ref="H3:V3" si="1">период_знач</f>
        <v>2020</v>
      </c>
      <c r="I3" s="14">
        <f t="shared" si="1"/>
        <v>2021</v>
      </c>
      <c r="J3" s="14">
        <f t="shared" si="1"/>
        <v>2022</v>
      </c>
      <c r="K3" s="14">
        <f t="shared" si="1"/>
        <v>2023</v>
      </c>
      <c r="L3" s="14">
        <f t="shared" si="1"/>
        <v>2024</v>
      </c>
      <c r="M3" s="14">
        <f t="shared" si="1"/>
        <v>2025</v>
      </c>
      <c r="N3" s="14">
        <f t="shared" si="1"/>
        <v>2026</v>
      </c>
      <c r="O3" s="14">
        <f t="shared" si="1"/>
        <v>2027</v>
      </c>
      <c r="P3" s="14">
        <f t="shared" si="1"/>
        <v>2028</v>
      </c>
      <c r="Q3" s="14">
        <f t="shared" si="1"/>
        <v>2029</v>
      </c>
      <c r="R3" s="14">
        <f t="shared" si="1"/>
        <v>2030</v>
      </c>
      <c r="S3" s="14">
        <f t="shared" si="1"/>
        <v>2031</v>
      </c>
      <c r="T3" s="14">
        <f t="shared" si="1"/>
        <v>2032</v>
      </c>
      <c r="U3" s="14">
        <f t="shared" si="1"/>
        <v>2033</v>
      </c>
      <c r="V3" s="14">
        <f t="shared" si="1"/>
        <v>2034</v>
      </c>
      <c r="W3" s="9"/>
      <c r="X3" s="9"/>
      <c r="Y3" s="9"/>
    </row>
    <row r="5" spans="1:25" s="10" customFormat="1" ht="13" x14ac:dyDescent="0.3">
      <c r="A5" s="10">
        <v>1</v>
      </c>
      <c r="B5" s="10" t="s">
        <v>77</v>
      </c>
      <c r="E5" s="11"/>
      <c r="F5" s="11"/>
    </row>
    <row r="6" spans="1:25" s="1" customFormat="1" outlineLevel="1" x14ac:dyDescent="0.35">
      <c r="E6" s="2"/>
      <c r="H6"/>
    </row>
    <row r="7" spans="1:25" s="1" customFormat="1" outlineLevel="1" x14ac:dyDescent="0.35">
      <c r="D7" s="1" t="s">
        <v>86</v>
      </c>
      <c r="E7" s="2" t="s">
        <v>87</v>
      </c>
      <c r="F7" s="2"/>
      <c r="H7" s="15">
        <f>'Горный календарь'!H7</f>
        <v>0</v>
      </c>
      <c r="I7" s="15">
        <f>'Горный календарь'!I7</f>
        <v>0</v>
      </c>
      <c r="J7" s="15">
        <f>'Горный календарь'!J7</f>
        <v>150</v>
      </c>
      <c r="K7" s="15">
        <f>'Горный календарь'!K7</f>
        <v>300</v>
      </c>
      <c r="L7" s="15">
        <f>'Горный календарь'!L7</f>
        <v>300</v>
      </c>
      <c r="M7" s="15">
        <f>'Горный календарь'!M7</f>
        <v>300</v>
      </c>
      <c r="N7" s="15">
        <f>'Горный календарь'!N7</f>
        <v>300</v>
      </c>
      <c r="O7" s="15">
        <f>'Горный календарь'!O7</f>
        <v>300</v>
      </c>
      <c r="P7" s="15">
        <f>'Горный календарь'!P7</f>
        <v>300</v>
      </c>
      <c r="Q7" s="15">
        <f>'Горный календарь'!Q7</f>
        <v>300</v>
      </c>
      <c r="R7" s="15">
        <f>'Горный календарь'!R7</f>
        <v>300</v>
      </c>
      <c r="S7" s="15">
        <f>'Горный календарь'!S7</f>
        <v>300</v>
      </c>
      <c r="T7" s="15">
        <f>'Горный календарь'!T7</f>
        <v>300</v>
      </c>
      <c r="U7" s="15">
        <f>'Горный календарь'!U7</f>
        <v>300</v>
      </c>
      <c r="V7" s="15">
        <f>'Горный календарь'!V7</f>
        <v>300</v>
      </c>
      <c r="W7"/>
    </row>
    <row r="8" spans="1:25" s="1" customFormat="1" outlineLevel="1" x14ac:dyDescent="0.35">
      <c r="D8" s="1" t="s">
        <v>94</v>
      </c>
      <c r="E8" s="2" t="s">
        <v>78</v>
      </c>
      <c r="F8" s="2"/>
      <c r="H8" s="15">
        <f>SUM(CAPEX!$H$12:H13,CAPEX!$H$16:H16,CAPEX!$H$19:H19)</f>
        <v>0</v>
      </c>
      <c r="I8" s="15">
        <f>SUM(CAPEX!$H$12:I13,CAPEX!$H$16:I16,CAPEX!$H$19:I19)</f>
        <v>1070000</v>
      </c>
      <c r="J8" s="15">
        <f>SUM(CAPEX!$H$12:J13,CAPEX!$H$16:J16,CAPEX!$H$19:J19)</f>
        <v>1345000</v>
      </c>
      <c r="K8" s="15">
        <f>SUM(CAPEX!$H$12:K13,CAPEX!$H$16:K16,CAPEX!$H$19:K19)</f>
        <v>1390000</v>
      </c>
      <c r="L8" s="15">
        <f>SUM(CAPEX!$H$12:L13,CAPEX!$H$16:L16,CAPEX!$H$19:L19)</f>
        <v>1390000</v>
      </c>
      <c r="M8" s="15">
        <f>SUM(CAPEX!$H$12:M13,CAPEX!$H$16:M16,CAPEX!$H$19:M19)</f>
        <v>1390000</v>
      </c>
      <c r="N8" s="15">
        <f>SUM(CAPEX!$H$12:N13,CAPEX!$H$16:N16,CAPEX!$H$19:N19)</f>
        <v>1390000</v>
      </c>
      <c r="O8" s="15">
        <f>SUM(CAPEX!$H$12:O13,CAPEX!$H$16:O16,CAPEX!$H$19:O19)</f>
        <v>1390000</v>
      </c>
      <c r="P8" s="15">
        <f>SUM(CAPEX!$H$12:P13,CAPEX!$H$16:P16,CAPEX!$H$19:P19)</f>
        <v>1390000</v>
      </c>
      <c r="Q8" s="15">
        <f>SUM(CAPEX!$H$12:Q13,CAPEX!$H$16:Q16,CAPEX!$H$19:Q19)</f>
        <v>1390000</v>
      </c>
      <c r="R8" s="15">
        <f>SUM(CAPEX!$H$12:R13,CAPEX!$H$16:R16,CAPEX!$H$19:R19)</f>
        <v>1390000</v>
      </c>
      <c r="S8" s="15">
        <f>SUM(CAPEX!$H$12:S13,CAPEX!$H$16:S16,CAPEX!$H$19:S19)</f>
        <v>1390000</v>
      </c>
      <c r="T8" s="15">
        <f>SUM(CAPEX!$H$12:T13,CAPEX!$H$16:T16,CAPEX!$H$19:T19)</f>
        <v>1390000</v>
      </c>
      <c r="U8" s="15">
        <f>SUM(CAPEX!$H$12:U13,CAPEX!$H$16:U16,CAPEX!$H$19:U19)</f>
        <v>1390000</v>
      </c>
      <c r="V8" s="15">
        <f>SUM(CAPEX!$H$12:V13,CAPEX!$H$16:V16,CAPEX!$H$19:V19)</f>
        <v>1390000</v>
      </c>
      <c r="W8"/>
    </row>
    <row r="10" spans="1:25" s="10" customFormat="1" ht="13" x14ac:dyDescent="0.3">
      <c r="A10" s="10">
        <v>2</v>
      </c>
      <c r="B10" s="10" t="s">
        <v>81</v>
      </c>
      <c r="E10" s="11"/>
      <c r="F10" s="11"/>
    </row>
    <row r="11" spans="1:25" s="1" customFormat="1" outlineLevel="1" x14ac:dyDescent="0.35">
      <c r="E11" s="2"/>
      <c r="H11"/>
    </row>
    <row r="12" spans="1:25" s="1" customFormat="1" outlineLevel="1" x14ac:dyDescent="0.35">
      <c r="D12" s="1" t="s">
        <v>34</v>
      </c>
      <c r="E12" s="2" t="s">
        <v>78</v>
      </c>
      <c r="F12" s="2"/>
      <c r="H12" s="15">
        <f>H$7*'Исходные данные'!$H$44*'Исходные данные'!H39/1000</f>
        <v>0</v>
      </c>
      <c r="I12" s="15">
        <f>I$7*'Исходные данные'!$H$44*'Исходные данные'!I39/1000</f>
        <v>0</v>
      </c>
      <c r="J12" s="15">
        <f>J$7*'Исходные данные'!$H$44*'Исходные данные'!J39/1000</f>
        <v>2625</v>
      </c>
      <c r="K12" s="15">
        <f>K$7*'Исходные данные'!$H$44*'Исходные данные'!K39/1000</f>
        <v>5250</v>
      </c>
      <c r="L12" s="15">
        <f>L$7*'Исходные данные'!$H$44*'Исходные данные'!L39/1000</f>
        <v>5250</v>
      </c>
      <c r="M12" s="15">
        <f>M$7*'Исходные данные'!$H$44*'Исходные данные'!M39/1000</f>
        <v>5250</v>
      </c>
      <c r="N12" s="15">
        <f>N$7*'Исходные данные'!$H$44*'Исходные данные'!N39/1000</f>
        <v>5250</v>
      </c>
      <c r="O12" s="15">
        <f>O$7*'Исходные данные'!$H$44*'Исходные данные'!O39/1000</f>
        <v>5250</v>
      </c>
      <c r="P12" s="15">
        <f>P$7*'Исходные данные'!$H$44*'Исходные данные'!P39/1000</f>
        <v>5250</v>
      </c>
      <c r="Q12" s="15">
        <f>Q$7*'Исходные данные'!$H$44*'Исходные данные'!Q39/1000</f>
        <v>5250</v>
      </c>
      <c r="R12" s="15">
        <f>R$7*'Исходные данные'!$H$44*'Исходные данные'!R39/1000</f>
        <v>5250</v>
      </c>
      <c r="S12" s="15">
        <f>S$7*'Исходные данные'!$H$44*'Исходные данные'!S39/1000</f>
        <v>5250</v>
      </c>
      <c r="T12" s="15">
        <f>T$7*'Исходные данные'!$H$44*'Исходные данные'!T39/1000</f>
        <v>5250</v>
      </c>
      <c r="U12" s="15">
        <f>U$7*'Исходные данные'!$H$44*'Исходные данные'!U39/1000</f>
        <v>5250</v>
      </c>
      <c r="V12" s="15">
        <f>V$7*'Исходные данные'!$H$44*'Исходные данные'!V39/1000</f>
        <v>5250</v>
      </c>
      <c r="W12"/>
    </row>
    <row r="13" spans="1:25" s="1" customFormat="1" ht="13" outlineLevel="1" x14ac:dyDescent="0.3">
      <c r="D13" s="1" t="s">
        <v>35</v>
      </c>
      <c r="E13" s="2" t="s">
        <v>78</v>
      </c>
      <c r="F13" s="2"/>
      <c r="H13" s="15">
        <f>H$7*'Исходные данные'!$H$45*'Исходные данные'!H40*1000</f>
        <v>0</v>
      </c>
      <c r="I13" s="15">
        <f>I$7*'Исходные данные'!$H$45*'Исходные данные'!I40*1000</f>
        <v>0</v>
      </c>
      <c r="J13" s="15">
        <f>J$7*'Исходные данные'!$H$45*'Исходные данные'!J40*1000</f>
        <v>1500</v>
      </c>
      <c r="K13" s="15">
        <f>K$7*'Исходные данные'!$H$45*'Исходные данные'!K40*1000</f>
        <v>3000</v>
      </c>
      <c r="L13" s="15">
        <f>L$7*'Исходные данные'!$H$45*'Исходные данные'!L40*1000</f>
        <v>3000</v>
      </c>
      <c r="M13" s="15">
        <f>M$7*'Исходные данные'!$H$45*'Исходные данные'!M40*1000</f>
        <v>3000</v>
      </c>
      <c r="N13" s="15">
        <f>N$7*'Исходные данные'!$H$45*'Исходные данные'!N40*1000</f>
        <v>3000</v>
      </c>
      <c r="O13" s="15">
        <f>O$7*'Исходные данные'!$H$45*'Исходные данные'!O40*1000</f>
        <v>3000</v>
      </c>
      <c r="P13" s="15">
        <f>P$7*'Исходные данные'!$H$45*'Исходные данные'!P40*1000</f>
        <v>3000</v>
      </c>
      <c r="Q13" s="15">
        <f>Q$7*'Исходные данные'!$H$45*'Исходные данные'!Q40*1000</f>
        <v>3000</v>
      </c>
      <c r="R13" s="15">
        <f>R$7*'Исходные данные'!$H$45*'Исходные данные'!R40*1000</f>
        <v>3000</v>
      </c>
      <c r="S13" s="15">
        <f>S$7*'Исходные данные'!$H$45*'Исходные данные'!S40*1000</f>
        <v>3000</v>
      </c>
      <c r="T13" s="15">
        <f>T$7*'Исходные данные'!$H$45*'Исходные данные'!T40*1000</f>
        <v>3000</v>
      </c>
      <c r="U13" s="15">
        <f>U$7*'Исходные данные'!$H$45*'Исходные данные'!U40*1000</f>
        <v>3000</v>
      </c>
      <c r="V13" s="15">
        <f>V$7*'Исходные данные'!$H$45*'Исходные данные'!V40*1000</f>
        <v>3000</v>
      </c>
    </row>
    <row r="15" spans="1:25" s="10" customFormat="1" ht="13" x14ac:dyDescent="0.3">
      <c r="A15" s="10">
        <v>3</v>
      </c>
      <c r="B15" s="10" t="s">
        <v>93</v>
      </c>
      <c r="E15" s="11"/>
      <c r="F15" s="11"/>
    </row>
    <row r="16" spans="1:25" s="1" customFormat="1" outlineLevel="1" x14ac:dyDescent="0.35">
      <c r="E16" s="2"/>
      <c r="H16"/>
    </row>
    <row r="17" spans="1:23" s="1" customFormat="1" outlineLevel="1" x14ac:dyDescent="0.35">
      <c r="D17" s="1" t="s">
        <v>57</v>
      </c>
      <c r="E17" s="2" t="s">
        <v>78</v>
      </c>
      <c r="F17" s="2"/>
      <c r="H17" s="15">
        <f>'Исходные данные'!H49*'Исходные данные'!H35</f>
        <v>0</v>
      </c>
      <c r="I17" s="15">
        <f>'Исходные данные'!I49*'Исходные данные'!I35</f>
        <v>0</v>
      </c>
      <c r="J17" s="15">
        <f>'Исходные данные'!J49*'Исходные данные'!J35</f>
        <v>0</v>
      </c>
      <c r="K17" s="15">
        <f>'Исходные данные'!K49*'Исходные данные'!K35</f>
        <v>0</v>
      </c>
      <c r="L17" s="15">
        <f>'Исходные данные'!L49*'Исходные данные'!L35</f>
        <v>0</v>
      </c>
      <c r="M17" s="15">
        <f>'Исходные данные'!M49*'Исходные данные'!M35</f>
        <v>0</v>
      </c>
      <c r="N17" s="15">
        <f>'Исходные данные'!N49*'Исходные данные'!N35</f>
        <v>0</v>
      </c>
      <c r="O17" s="15">
        <f>'Исходные данные'!O49*'Исходные данные'!O35</f>
        <v>0</v>
      </c>
      <c r="P17" s="15">
        <f>'Исходные данные'!P49*'Исходные данные'!P35</f>
        <v>0</v>
      </c>
      <c r="Q17" s="15">
        <f>'Исходные данные'!Q49*'Исходные данные'!Q35</f>
        <v>0</v>
      </c>
      <c r="R17" s="15">
        <f>'Исходные данные'!R49*'Исходные данные'!R35</f>
        <v>0</v>
      </c>
      <c r="S17" s="15">
        <f>'Исходные данные'!S49*'Исходные данные'!S35</f>
        <v>0</v>
      </c>
      <c r="T17" s="15">
        <f>'Исходные данные'!T49*'Исходные данные'!T35</f>
        <v>0</v>
      </c>
      <c r="U17" s="15">
        <f>'Исходные данные'!U49*'Исходные данные'!U35</f>
        <v>0</v>
      </c>
      <c r="V17" s="15">
        <f>'Исходные данные'!V49*'Исходные данные'!V35</f>
        <v>0</v>
      </c>
      <c r="W17"/>
    </row>
    <row r="18" spans="1:23" s="1" customFormat="1" outlineLevel="1" x14ac:dyDescent="0.35">
      <c r="D18" s="1" t="s">
        <v>60</v>
      </c>
      <c r="E18" s="2" t="s">
        <v>78</v>
      </c>
      <c r="F18" s="2"/>
      <c r="H18" s="15">
        <f>'Исходные данные'!H50*'Исходные данные'!H36</f>
        <v>137500</v>
      </c>
      <c r="I18" s="15">
        <f>'Исходные данные'!I50*'Исходные данные'!I36</f>
        <v>137500</v>
      </c>
      <c r="J18" s="15">
        <f>'Исходные данные'!J50*'Исходные данные'!J36</f>
        <v>137500</v>
      </c>
      <c r="K18" s="15">
        <f>'Исходные данные'!K50*'Исходные данные'!K36</f>
        <v>137500</v>
      </c>
      <c r="L18" s="15">
        <f>'Исходные данные'!L50*'Исходные данные'!L36</f>
        <v>137500</v>
      </c>
      <c r="M18" s="15">
        <f>'Исходные данные'!M50*'Исходные данные'!M36</f>
        <v>137500</v>
      </c>
      <c r="N18" s="15">
        <f>'Исходные данные'!N50*'Исходные данные'!N36</f>
        <v>137500</v>
      </c>
      <c r="O18" s="15">
        <f>'Исходные данные'!O50*'Исходные данные'!O36</f>
        <v>137500</v>
      </c>
      <c r="P18" s="15">
        <f>'Исходные данные'!P50*'Исходные данные'!P36</f>
        <v>137500</v>
      </c>
      <c r="Q18" s="15">
        <f>'Исходные данные'!Q50*'Исходные данные'!Q36</f>
        <v>137500</v>
      </c>
      <c r="R18" s="15">
        <f>'Исходные данные'!R50*'Исходные данные'!R36</f>
        <v>137500</v>
      </c>
      <c r="S18" s="15">
        <f>'Исходные данные'!S50*'Исходные данные'!S36</f>
        <v>137500</v>
      </c>
      <c r="T18" s="15">
        <f>'Исходные данные'!T50*'Исходные данные'!T36</f>
        <v>137500</v>
      </c>
      <c r="U18" s="15">
        <f>'Исходные данные'!U50*'Исходные данные'!U36</f>
        <v>137500</v>
      </c>
      <c r="V18" s="15">
        <f>'Исходные данные'!V50*'Исходные данные'!V36</f>
        <v>137500</v>
      </c>
      <c r="W18"/>
    </row>
    <row r="19" spans="1:23" s="1" customFormat="1" outlineLevel="1" x14ac:dyDescent="0.35">
      <c r="D19" s="1" t="s">
        <v>32</v>
      </c>
      <c r="E19" s="2" t="s">
        <v>78</v>
      </c>
      <c r="F19" s="2"/>
      <c r="H19" s="15">
        <f>'Исходные данные'!H51*'Исходные данные'!H37</f>
        <v>15500</v>
      </c>
      <c r="I19" s="15">
        <f>'Исходные данные'!I51*'Исходные данные'!I37</f>
        <v>15500</v>
      </c>
      <c r="J19" s="15">
        <f>'Исходные данные'!J51*'Исходные данные'!J37</f>
        <v>15500</v>
      </c>
      <c r="K19" s="15">
        <f>'Исходные данные'!K51*'Исходные данные'!K37</f>
        <v>15500</v>
      </c>
      <c r="L19" s="15">
        <f>'Исходные данные'!L51*'Исходные данные'!L37</f>
        <v>15500</v>
      </c>
      <c r="M19" s="15">
        <f>'Исходные данные'!M51*'Исходные данные'!M37</f>
        <v>15500</v>
      </c>
      <c r="N19" s="15">
        <f>'Исходные данные'!N51*'Исходные данные'!N37</f>
        <v>15500</v>
      </c>
      <c r="O19" s="15">
        <f>'Исходные данные'!O51*'Исходные данные'!O37</f>
        <v>15500</v>
      </c>
      <c r="P19" s="15">
        <f>'Исходные данные'!P51*'Исходные данные'!P37</f>
        <v>15500</v>
      </c>
      <c r="Q19" s="15">
        <f>'Исходные данные'!Q51*'Исходные данные'!Q37</f>
        <v>15500</v>
      </c>
      <c r="R19" s="15">
        <f>'Исходные данные'!R51*'Исходные данные'!R37</f>
        <v>15500</v>
      </c>
      <c r="S19" s="15">
        <f>'Исходные данные'!S51*'Исходные данные'!S37</f>
        <v>15500</v>
      </c>
      <c r="T19" s="15">
        <f>'Исходные данные'!T51*'Исходные данные'!T37</f>
        <v>15500</v>
      </c>
      <c r="U19" s="15">
        <f>'Исходные данные'!U51*'Исходные данные'!U37</f>
        <v>15500</v>
      </c>
      <c r="V19" s="15">
        <f>'Исходные данные'!V51*'Исходные данные'!V37</f>
        <v>15500</v>
      </c>
      <c r="W19"/>
    </row>
    <row r="20" spans="1:23" s="1" customFormat="1" outlineLevel="1" x14ac:dyDescent="0.35">
      <c r="D20" s="1" t="s">
        <v>33</v>
      </c>
      <c r="E20" s="2" t="s">
        <v>78</v>
      </c>
      <c r="F20" s="2"/>
      <c r="H20" s="15">
        <f>'Исходные данные'!H52*'Исходные данные'!H38</f>
        <v>12500</v>
      </c>
      <c r="I20" s="15">
        <f>'Исходные данные'!I52*'Исходные данные'!I38</f>
        <v>12500</v>
      </c>
      <c r="J20" s="15">
        <f>'Исходные данные'!J52*'Исходные данные'!J38</f>
        <v>12500</v>
      </c>
      <c r="K20" s="15">
        <f>'Исходные данные'!K52*'Исходные данные'!K38</f>
        <v>12500</v>
      </c>
      <c r="L20" s="15">
        <f>'Исходные данные'!L52*'Исходные данные'!L38</f>
        <v>12500</v>
      </c>
      <c r="M20" s="15">
        <f>'Исходные данные'!M52*'Исходные данные'!M38</f>
        <v>12500</v>
      </c>
      <c r="N20" s="15">
        <f>'Исходные данные'!N52*'Исходные данные'!N38</f>
        <v>12500</v>
      </c>
      <c r="O20" s="15">
        <f>'Исходные данные'!O52*'Исходные данные'!O38</f>
        <v>12500</v>
      </c>
      <c r="P20" s="15">
        <f>'Исходные данные'!P52*'Исходные данные'!P38</f>
        <v>12500</v>
      </c>
      <c r="Q20" s="15">
        <f>'Исходные данные'!Q52*'Исходные данные'!Q38</f>
        <v>12500</v>
      </c>
      <c r="R20" s="15">
        <f>'Исходные данные'!R52*'Исходные данные'!R38</f>
        <v>12500</v>
      </c>
      <c r="S20" s="15">
        <f>'Исходные данные'!S52*'Исходные данные'!S38</f>
        <v>12500</v>
      </c>
      <c r="T20" s="15">
        <f>'Исходные данные'!T52*'Исходные данные'!T38</f>
        <v>12500</v>
      </c>
      <c r="U20" s="15">
        <f>'Исходные данные'!U52*'Исходные данные'!U38</f>
        <v>12500</v>
      </c>
      <c r="V20" s="15">
        <f>'Исходные данные'!V52*'Исходные данные'!V38</f>
        <v>12500</v>
      </c>
      <c r="W20"/>
    </row>
    <row r="21" spans="1:23" s="1" customFormat="1" ht="13" outlineLevel="1" x14ac:dyDescent="0.3">
      <c r="D21" s="1" t="s">
        <v>90</v>
      </c>
      <c r="E21" s="2" t="s">
        <v>78</v>
      </c>
      <c r="F21" s="2"/>
      <c r="H21" s="15">
        <f>'Исходные данные'!H53*H8</f>
        <v>0</v>
      </c>
      <c r="I21" s="15">
        <f>'Исходные данные'!I53*I8</f>
        <v>32100</v>
      </c>
      <c r="J21" s="15">
        <f>'Исходные данные'!J53*J8</f>
        <v>40350</v>
      </c>
      <c r="K21" s="15">
        <f>'Исходные данные'!K53*K8</f>
        <v>41700</v>
      </c>
      <c r="L21" s="15">
        <f>'Исходные данные'!L53*L8</f>
        <v>41700</v>
      </c>
      <c r="M21" s="15">
        <f>'Исходные данные'!M53*M8</f>
        <v>41700</v>
      </c>
      <c r="N21" s="15">
        <f>'Исходные данные'!N53*N8</f>
        <v>41700</v>
      </c>
      <c r="O21" s="15">
        <f>'Исходные данные'!O53*O8</f>
        <v>41700</v>
      </c>
      <c r="P21" s="15">
        <f>'Исходные данные'!P53*P8</f>
        <v>41700</v>
      </c>
      <c r="Q21" s="15">
        <f>'Исходные данные'!Q53*Q8</f>
        <v>41700</v>
      </c>
      <c r="R21" s="15">
        <f>'Исходные данные'!R53*R8</f>
        <v>41700</v>
      </c>
      <c r="S21" s="15">
        <f>'Исходные данные'!S53*S8</f>
        <v>41700</v>
      </c>
      <c r="T21" s="15">
        <f>'Исходные данные'!T53*T8</f>
        <v>41700</v>
      </c>
      <c r="U21" s="15">
        <f>'Исходные данные'!U53*U8</f>
        <v>41700</v>
      </c>
      <c r="V21" s="15">
        <f>'Исходные данные'!V53*V8</f>
        <v>41700</v>
      </c>
    </row>
    <row r="23" spans="1:23" s="10" customFormat="1" ht="13" x14ac:dyDescent="0.3">
      <c r="A23" s="10">
        <v>4</v>
      </c>
      <c r="B23" s="10" t="s">
        <v>82</v>
      </c>
      <c r="E23" s="11"/>
      <c r="F23" s="11"/>
    </row>
    <row r="24" spans="1:23" s="1" customFormat="1" outlineLevel="1" x14ac:dyDescent="0.35">
      <c r="E24" s="2"/>
      <c r="H24"/>
    </row>
    <row r="25" spans="1:23" s="1" customFormat="1" outlineLevel="1" x14ac:dyDescent="0.35">
      <c r="D25" s="1" t="s">
        <v>37</v>
      </c>
      <c r="E25" s="2" t="s">
        <v>78</v>
      </c>
      <c r="F25" s="2"/>
      <c r="H25" s="15">
        <f>'Исходные данные'!H63</f>
        <v>20000</v>
      </c>
      <c r="I25" s="15">
        <f>'Исходные данные'!I63</f>
        <v>20000</v>
      </c>
      <c r="J25" s="15">
        <f>'Исходные данные'!J63</f>
        <v>20000</v>
      </c>
      <c r="K25" s="15">
        <f>'Исходные данные'!K63</f>
        <v>20000</v>
      </c>
      <c r="L25" s="15">
        <f>'Исходные данные'!L63</f>
        <v>20000</v>
      </c>
      <c r="M25" s="15">
        <f>'Исходные данные'!M63</f>
        <v>20000</v>
      </c>
      <c r="N25" s="15">
        <f>'Исходные данные'!N63</f>
        <v>20000</v>
      </c>
      <c r="O25" s="15">
        <f>'Исходные данные'!O63</f>
        <v>20000</v>
      </c>
      <c r="P25" s="15">
        <f>'Исходные данные'!P63</f>
        <v>20000</v>
      </c>
      <c r="Q25" s="15">
        <f>'Исходные данные'!Q63</f>
        <v>20000</v>
      </c>
      <c r="R25" s="15">
        <f>'Исходные данные'!R63</f>
        <v>20000</v>
      </c>
      <c r="S25" s="15">
        <f>'Исходные данные'!S63</f>
        <v>20000</v>
      </c>
      <c r="T25" s="15">
        <f>'Исходные данные'!T63</f>
        <v>20000</v>
      </c>
      <c r="U25" s="15">
        <f>'Исходные данные'!U63</f>
        <v>20000</v>
      </c>
      <c r="V25" s="15">
        <f>'Исходные данные'!V63</f>
        <v>20000</v>
      </c>
      <c r="W25"/>
    </row>
    <row r="26" spans="1:23" s="1" customFormat="1" outlineLevel="1" x14ac:dyDescent="0.35">
      <c r="D26" s="1" t="s">
        <v>38</v>
      </c>
      <c r="E26" s="2" t="s">
        <v>78</v>
      </c>
      <c r="F26" s="2"/>
      <c r="H26" s="15">
        <f>'Исходные данные'!H64*H7/MAX($H$7:$V$7)</f>
        <v>0</v>
      </c>
      <c r="I26" s="15">
        <f>'Исходные данные'!I64*I7/MAX($H$7:$V$7)</f>
        <v>0</v>
      </c>
      <c r="J26" s="15">
        <f>'Исходные данные'!J64*J7/MAX($H$7:$V$7)</f>
        <v>2500</v>
      </c>
      <c r="K26" s="15">
        <f>'Исходные данные'!K64*K7/MAX($H$7:$V$7)</f>
        <v>5000</v>
      </c>
      <c r="L26" s="15">
        <f>'Исходные данные'!L64*L7/MAX($H$7:$V$7)</f>
        <v>5000</v>
      </c>
      <c r="M26" s="15">
        <f>'Исходные данные'!M64*M7/MAX($H$7:$V$7)</f>
        <v>5000</v>
      </c>
      <c r="N26" s="15">
        <f>'Исходные данные'!N64*N7/MAX($H$7:$V$7)</f>
        <v>5000</v>
      </c>
      <c r="O26" s="15">
        <f>'Исходные данные'!O64*O7/MAX($H$7:$V$7)</f>
        <v>5000</v>
      </c>
      <c r="P26" s="15">
        <f>'Исходные данные'!P64*P7/MAX($H$7:$V$7)</f>
        <v>5000</v>
      </c>
      <c r="Q26" s="15">
        <f>'Исходные данные'!Q64*Q7/MAX($H$7:$V$7)</f>
        <v>5000</v>
      </c>
      <c r="R26" s="15">
        <f>'Исходные данные'!R64*R7/MAX($H$7:$V$7)</f>
        <v>5000</v>
      </c>
      <c r="S26" s="15">
        <f>'Исходные данные'!S64*S7/MAX($H$7:$V$7)</f>
        <v>5000</v>
      </c>
      <c r="T26" s="15">
        <f>'Исходные данные'!T64*T7/MAX($H$7:$V$7)</f>
        <v>5000</v>
      </c>
      <c r="U26" s="15">
        <f>'Исходные данные'!U64*U7/MAX($H$7:$V$7)</f>
        <v>5000</v>
      </c>
      <c r="V26" s="15">
        <f>'Исходные данные'!V64*V7/MAX($H$7:$V$7)</f>
        <v>5000</v>
      </c>
      <c r="W26"/>
    </row>
    <row r="27" spans="1:23" s="1" customFormat="1" ht="13" outlineLevel="1" x14ac:dyDescent="0.3">
      <c r="D27" s="1" t="s">
        <v>39</v>
      </c>
      <c r="E27" s="2" t="s">
        <v>78</v>
      </c>
      <c r="F27" s="2"/>
      <c r="H27" s="15">
        <f>'Исходные данные'!H65*H7/MAX($H$7:$V$7)</f>
        <v>0</v>
      </c>
      <c r="I27" s="15">
        <f>'Исходные данные'!I65*I7/MAX($H$7:$V$7)</f>
        <v>0</v>
      </c>
      <c r="J27" s="15">
        <f>'Исходные данные'!J65*J7/MAX($H$7:$V$7)</f>
        <v>2500</v>
      </c>
      <c r="K27" s="15">
        <f>'Исходные данные'!K65*K7/MAX($H$7:$V$7)</f>
        <v>5000</v>
      </c>
      <c r="L27" s="15">
        <f>'Исходные данные'!L65*L7/MAX($H$7:$V$7)</f>
        <v>5000</v>
      </c>
      <c r="M27" s="15">
        <f>'Исходные данные'!M65*M7/MAX($H$7:$V$7)</f>
        <v>5000</v>
      </c>
      <c r="N27" s="15">
        <f>'Исходные данные'!N65*N7/MAX($H$7:$V$7)</f>
        <v>5000</v>
      </c>
      <c r="O27" s="15">
        <f>'Исходные данные'!O65*O7/MAX($H$7:$V$7)</f>
        <v>5000</v>
      </c>
      <c r="P27" s="15">
        <f>'Исходные данные'!P65*P7/MAX($H$7:$V$7)</f>
        <v>5000</v>
      </c>
      <c r="Q27" s="15">
        <f>'Исходные данные'!Q65*Q7/MAX($H$7:$V$7)</f>
        <v>5000</v>
      </c>
      <c r="R27" s="15">
        <f>'Исходные данные'!R65*R7/MAX($H$7:$V$7)</f>
        <v>5000</v>
      </c>
      <c r="S27" s="15">
        <f>'Исходные данные'!S65*S7/MAX($H$7:$V$7)</f>
        <v>5000</v>
      </c>
      <c r="T27" s="15">
        <f>'Исходные данные'!T65*T7/MAX($H$7:$V$7)</f>
        <v>5000</v>
      </c>
      <c r="U27" s="15">
        <f>'Исходные данные'!U65*U7/MAX($H$7:$V$7)</f>
        <v>5000</v>
      </c>
      <c r="V27" s="15">
        <f>'Исходные данные'!V65*V7/MAX($H$7:$V$7)</f>
        <v>5000</v>
      </c>
    </row>
    <row r="29" spans="1:23" s="10" customFormat="1" ht="13" x14ac:dyDescent="0.3">
      <c r="A29" s="10">
        <v>5</v>
      </c>
      <c r="B29" s="10" t="s">
        <v>83</v>
      </c>
      <c r="E29" s="11"/>
      <c r="F29" s="11"/>
    </row>
    <row r="30" spans="1:23" s="1" customFormat="1" outlineLevel="1" x14ac:dyDescent="0.35">
      <c r="E30" s="2"/>
      <c r="H30"/>
    </row>
    <row r="31" spans="1:23" s="1" customFormat="1" outlineLevel="1" x14ac:dyDescent="0.35">
      <c r="D31" s="1" t="s">
        <v>40</v>
      </c>
      <c r="E31" s="2" t="s">
        <v>78</v>
      </c>
      <c r="F31" s="2"/>
      <c r="H31" s="15">
        <f>'Исходные данные'!H69*SUM(Выручка!H19:H20)</f>
        <v>0</v>
      </c>
      <c r="I31" s="15">
        <f>'Исходные данные'!I69*SUM(Выручка!I19:I20)</f>
        <v>0</v>
      </c>
      <c r="J31" s="15">
        <f>'Исходные данные'!J69*SUM(Выручка!J19:J20)</f>
        <v>6076.7322320699532</v>
      </c>
      <c r="K31" s="15">
        <f>'Исходные данные'!K69*SUM(Выручка!K19:K20)</f>
        <v>11724.155545209018</v>
      </c>
      <c r="L31" s="15">
        <f>'Исходные данные'!L69*SUM(Выручка!L19:L20)</f>
        <v>12582.773383070797</v>
      </c>
      <c r="M31" s="15">
        <f>'Исходные данные'!M69*SUM(Выручка!M19:M20)</f>
        <v>15129.112511306133</v>
      </c>
      <c r="N31" s="15">
        <f>'Исходные данные'!N69*SUM(Выручка!N19:N20)</f>
        <v>13855.942947188465</v>
      </c>
      <c r="O31" s="15">
        <f>'Исходные данные'!O69*SUM(Выручка!O19:O20)</f>
        <v>11733.993673659019</v>
      </c>
      <c r="P31" s="15">
        <f>'Исходные данные'!P69*SUM(Выручка!P19:P20)</f>
        <v>11309.603818953128</v>
      </c>
      <c r="Q31" s="15">
        <f>'Исходные данные'!Q69*SUM(Выручка!Q19:Q20)</f>
        <v>11309.603818953128</v>
      </c>
      <c r="R31" s="15">
        <f>'Исходные данные'!R69*SUM(Выручка!R19:R20)</f>
        <v>10885.213964247238</v>
      </c>
      <c r="S31" s="15">
        <f>'Исходные данные'!S69*SUM(Выручка!S19:S20)</f>
        <v>10880.294900022238</v>
      </c>
      <c r="T31" s="15">
        <f>'Исходные данные'!T69*SUM(Выручка!T19:T20)</f>
        <v>10455.905045316349</v>
      </c>
      <c r="U31" s="15">
        <f>'Исходные данные'!U69*SUM(Выручка!U19:U20)</f>
        <v>10455.905045316349</v>
      </c>
      <c r="V31" s="15">
        <f>'Исходные данные'!V69*SUM(Выручка!V19:V20)</f>
        <v>10455.905045316349</v>
      </c>
      <c r="W31"/>
    </row>
    <row r="32" spans="1:23" s="1" customFormat="1" ht="13" outlineLevel="1" x14ac:dyDescent="0.3">
      <c r="D32" s="1" t="s">
        <v>41</v>
      </c>
      <c r="E32" s="2" t="s">
        <v>78</v>
      </c>
      <c r="F32" s="2"/>
      <c r="H32" s="15">
        <f>'Исходные данные'!H70*SUM(Выручка!H19:H20)</f>
        <v>0</v>
      </c>
      <c r="I32" s="15">
        <f>'Исходные данные'!I70*SUM(Выручка!I19:I20)</f>
        <v>0</v>
      </c>
      <c r="J32" s="15">
        <f>'Исходные данные'!J70*SUM(Выручка!J19:J20)</f>
        <v>2430.6928928279813</v>
      </c>
      <c r="K32" s="15">
        <f>'Исходные данные'!K70*SUM(Выручка!K19:K20)</f>
        <v>4689.6622180836075</v>
      </c>
      <c r="L32" s="15">
        <f>'Исходные данные'!L70*SUM(Выручка!L19:L20)</f>
        <v>5033.1093532283185</v>
      </c>
      <c r="M32" s="15">
        <f>'Исходные данные'!M70*SUM(Выручка!M19:M20)</f>
        <v>6051.6450045224528</v>
      </c>
      <c r="N32" s="15">
        <f>'Исходные данные'!N70*SUM(Выручка!N19:N20)</f>
        <v>5542.3771788753857</v>
      </c>
      <c r="O32" s="15">
        <f>'Исходные данные'!O70*SUM(Выручка!O19:O20)</f>
        <v>4693.597469463607</v>
      </c>
      <c r="P32" s="15">
        <f>'Исходные данные'!P70*SUM(Выручка!P19:P20)</f>
        <v>4523.8415275812513</v>
      </c>
      <c r="Q32" s="15">
        <f>'Исходные данные'!Q70*SUM(Выручка!Q19:Q20)</f>
        <v>4523.8415275812513</v>
      </c>
      <c r="R32" s="15">
        <f>'Исходные данные'!R70*SUM(Выручка!R19:R20)</f>
        <v>4354.0855856988956</v>
      </c>
      <c r="S32" s="15">
        <f>'Исходные данные'!S70*SUM(Выручка!S19:S20)</f>
        <v>4352.1179600088954</v>
      </c>
      <c r="T32" s="15">
        <f>'Исходные данные'!T70*SUM(Выручка!T19:T20)</f>
        <v>4182.3620181265396</v>
      </c>
      <c r="U32" s="15">
        <f>'Исходные данные'!U70*SUM(Выручка!U19:U20)</f>
        <v>4182.3620181265396</v>
      </c>
      <c r="V32" s="15">
        <f>'Исходные данные'!V70*SUM(Выручка!V19:V20)</f>
        <v>4182.3620181265396</v>
      </c>
    </row>
    <row r="34" spans="1:23" s="10" customFormat="1" ht="13" x14ac:dyDescent="0.3">
      <c r="A34" s="10">
        <v>6</v>
      </c>
      <c r="B34" s="10" t="s">
        <v>84</v>
      </c>
      <c r="E34" s="11"/>
      <c r="F34" s="11"/>
    </row>
    <row r="35" spans="1:23" s="1" customFormat="1" outlineLevel="1" x14ac:dyDescent="0.35">
      <c r="E35" s="2"/>
      <c r="H35"/>
    </row>
    <row r="36" spans="1:23" s="1" customFormat="1" outlineLevel="1" x14ac:dyDescent="0.35">
      <c r="D36" s="1" t="s">
        <v>24</v>
      </c>
      <c r="E36" s="2" t="s">
        <v>78</v>
      </c>
      <c r="F36" s="2"/>
      <c r="H36" s="15">
        <f>'Исходные данные'!H79</f>
        <v>50000</v>
      </c>
      <c r="I36" s="15">
        <f>'Исходные данные'!I79</f>
        <v>50000</v>
      </c>
      <c r="J36" s="15">
        <f>'Исходные данные'!J79</f>
        <v>50000</v>
      </c>
      <c r="K36" s="15">
        <f>'Исходные данные'!K79</f>
        <v>50000</v>
      </c>
      <c r="L36" s="15">
        <f>'Исходные данные'!L79</f>
        <v>50000</v>
      </c>
      <c r="M36" s="15">
        <f>'Исходные данные'!M79</f>
        <v>50000</v>
      </c>
      <c r="N36" s="15">
        <f>'Исходные данные'!N79</f>
        <v>50000</v>
      </c>
      <c r="O36" s="15">
        <f>'Исходные данные'!O79</f>
        <v>50000</v>
      </c>
      <c r="P36" s="15">
        <f>'Исходные данные'!P79</f>
        <v>50000</v>
      </c>
      <c r="Q36" s="15">
        <f>'Исходные данные'!Q79</f>
        <v>50000</v>
      </c>
      <c r="R36" s="15">
        <f>'Исходные данные'!R79</f>
        <v>50000</v>
      </c>
      <c r="S36" s="15">
        <f>'Исходные данные'!S79</f>
        <v>50000</v>
      </c>
      <c r="T36" s="15">
        <f>'Исходные данные'!T79</f>
        <v>50000</v>
      </c>
      <c r="U36" s="15">
        <f>'Исходные данные'!U79</f>
        <v>50000</v>
      </c>
      <c r="V36" s="15">
        <f>'Исходные данные'!V79</f>
        <v>50000</v>
      </c>
      <c r="W36"/>
    </row>
    <row r="37" spans="1:23" s="1" customFormat="1" outlineLevel="1" x14ac:dyDescent="0.35">
      <c r="D37" s="1" t="s">
        <v>25</v>
      </c>
      <c r="E37" s="2" t="s">
        <v>78</v>
      </c>
      <c r="F37" s="2"/>
      <c r="H37" s="15">
        <f>'Исходные данные'!H80*H7/MAX($H$7:$V$7)</f>
        <v>0</v>
      </c>
      <c r="I37" s="15">
        <f>'Исходные данные'!I80*I7/MAX($H$7:$V$7)</f>
        <v>0</v>
      </c>
      <c r="J37" s="15">
        <f>'Исходные данные'!J80*J7/MAX($H$7:$V$7)</f>
        <v>50000</v>
      </c>
      <c r="K37" s="15">
        <f>'Исходные данные'!K80*K7/MAX($H$7:$V$7)</f>
        <v>100000</v>
      </c>
      <c r="L37" s="15">
        <f>'Исходные данные'!L80*L7/MAX($H$7:$V$7)</f>
        <v>100000</v>
      </c>
      <c r="M37" s="15">
        <f>'Исходные данные'!M80*M7/MAX($H$7:$V$7)</f>
        <v>100000</v>
      </c>
      <c r="N37" s="15">
        <f>'Исходные данные'!N80*N7/MAX($H$7:$V$7)</f>
        <v>100000</v>
      </c>
      <c r="O37" s="15">
        <f>'Исходные данные'!O80*O7/MAX($H$7:$V$7)</f>
        <v>100000</v>
      </c>
      <c r="P37" s="15">
        <f>'Исходные данные'!P80*P7/MAX($H$7:$V$7)</f>
        <v>100000</v>
      </c>
      <c r="Q37" s="15">
        <f>'Исходные данные'!Q80*Q7/MAX($H$7:$V$7)</f>
        <v>100000</v>
      </c>
      <c r="R37" s="15">
        <f>'Исходные данные'!R80*R7/MAX($H$7:$V$7)</f>
        <v>100000</v>
      </c>
      <c r="S37" s="15">
        <f>'Исходные данные'!S80*S7/MAX($H$7:$V$7)</f>
        <v>100000</v>
      </c>
      <c r="T37" s="15">
        <f>'Исходные данные'!T80*T7/MAX($H$7:$V$7)</f>
        <v>100000</v>
      </c>
      <c r="U37" s="15">
        <f>'Исходные данные'!U80*U7/MAX($H$7:$V$7)</f>
        <v>100000</v>
      </c>
      <c r="V37" s="15">
        <f>'Исходные данные'!V80*V7/MAX($H$7:$V$7)</f>
        <v>100000</v>
      </c>
      <c r="W37"/>
    </row>
    <row r="38" spans="1:23" s="1" customFormat="1" ht="13" outlineLevel="1" x14ac:dyDescent="0.3">
      <c r="D38" s="1" t="s">
        <v>68</v>
      </c>
      <c r="E38" s="2" t="s">
        <v>78</v>
      </c>
      <c r="F38" s="2"/>
      <c r="H38" s="15">
        <f>'Исходные данные'!H81*H7/MAX($H$7:$V$7)</f>
        <v>0</v>
      </c>
      <c r="I38" s="15">
        <f>'Исходные данные'!I81*I7/MAX($H$7:$V$7)</f>
        <v>0</v>
      </c>
      <c r="J38" s="15">
        <f>'Исходные данные'!J81*J7/MAX($H$7:$V$7)</f>
        <v>55000</v>
      </c>
      <c r="K38" s="15">
        <f>'Исходные данные'!K81*K7/MAX($H$7:$V$7)</f>
        <v>110000</v>
      </c>
      <c r="L38" s="15">
        <f>'Исходные данные'!L81*L7/MAX($H$7:$V$7)</f>
        <v>110000</v>
      </c>
      <c r="M38" s="15">
        <f>'Исходные данные'!M81*M7/MAX($H$7:$V$7)</f>
        <v>110000</v>
      </c>
      <c r="N38" s="15">
        <f>'Исходные данные'!N81*N7/MAX($H$7:$V$7)</f>
        <v>110000</v>
      </c>
      <c r="O38" s="15">
        <f>'Исходные данные'!O81*O7/MAX($H$7:$V$7)</f>
        <v>110000</v>
      </c>
      <c r="P38" s="15">
        <f>'Исходные данные'!P81*P7/MAX($H$7:$V$7)</f>
        <v>110000</v>
      </c>
      <c r="Q38" s="15">
        <f>'Исходные данные'!Q81*Q7/MAX($H$7:$V$7)</f>
        <v>110000</v>
      </c>
      <c r="R38" s="15">
        <f>'Исходные данные'!R81*R7/MAX($H$7:$V$7)</f>
        <v>110000</v>
      </c>
      <c r="S38" s="15">
        <f>'Исходные данные'!S81*S7/MAX($H$7:$V$7)</f>
        <v>110000</v>
      </c>
      <c r="T38" s="15">
        <f>'Исходные данные'!T81*T7/MAX($H$7:$V$7)</f>
        <v>110000</v>
      </c>
      <c r="U38" s="15">
        <f>'Исходные данные'!U81*U7/MAX($H$7:$V$7)</f>
        <v>110000</v>
      </c>
      <c r="V38" s="15">
        <f>'Исходные данные'!V81*V7/MAX($H$7:$V$7)</f>
        <v>110000</v>
      </c>
    </row>
    <row r="40" spans="1:23" s="10" customFormat="1" ht="13" x14ac:dyDescent="0.3">
      <c r="A40" s="10">
        <v>7</v>
      </c>
      <c r="B40" s="10" t="s">
        <v>85</v>
      </c>
      <c r="E40" s="11"/>
      <c r="F40" s="11"/>
    </row>
    <row r="41" spans="1:23" s="1" customFormat="1" outlineLevel="1" x14ac:dyDescent="0.35">
      <c r="E41" s="2"/>
      <c r="H41"/>
    </row>
    <row r="42" spans="1:23" s="1" customFormat="1" outlineLevel="1" x14ac:dyDescent="0.35">
      <c r="D42" s="1" t="s">
        <v>100</v>
      </c>
      <c r="E42" s="2" t="s">
        <v>78</v>
      </c>
      <c r="F42" s="2"/>
      <c r="H42" s="15">
        <f>SUM(H12:H13,H17:H21,H25:H27,H31:H32,H36:H38)</f>
        <v>235500</v>
      </c>
      <c r="I42" s="15">
        <f t="shared" ref="I42:V42" si="2">SUM(I12:I13,I17:I21,I25:I27,I31:I32,I36:I38)</f>
        <v>267600</v>
      </c>
      <c r="J42" s="15">
        <f>SUM(J12:J13,J17:J21,J25:J27,J31:J32,J36:J38)</f>
        <v>398482.42512489791</v>
      </c>
      <c r="K42" s="15">
        <f t="shared" si="2"/>
        <v>521863.81776329258</v>
      </c>
      <c r="L42" s="15">
        <f t="shared" si="2"/>
        <v>523065.88273629913</v>
      </c>
      <c r="M42" s="15">
        <f t="shared" si="2"/>
        <v>526630.75751582859</v>
      </c>
      <c r="N42" s="15">
        <f t="shared" si="2"/>
        <v>524848.32012606389</v>
      </c>
      <c r="O42" s="15">
        <f t="shared" si="2"/>
        <v>521877.59114312264</v>
      </c>
      <c r="P42" s="15">
        <f t="shared" si="2"/>
        <v>521283.44534653437</v>
      </c>
      <c r="Q42" s="15">
        <f t="shared" si="2"/>
        <v>521283.44534653437</v>
      </c>
      <c r="R42" s="15">
        <f t="shared" si="2"/>
        <v>520689.2995499461</v>
      </c>
      <c r="S42" s="15">
        <f t="shared" si="2"/>
        <v>520682.41286003112</v>
      </c>
      <c r="T42" s="15">
        <f t="shared" si="2"/>
        <v>520088.26706344285</v>
      </c>
      <c r="U42" s="15">
        <f t="shared" si="2"/>
        <v>520088.26706344285</v>
      </c>
      <c r="V42" s="15">
        <f t="shared" si="2"/>
        <v>520088.26706344285</v>
      </c>
      <c r="W42"/>
    </row>
    <row r="43" spans="1:23" s="1" customFormat="1" outlineLevel="1" x14ac:dyDescent="0.35">
      <c r="D43" s="1" t="s">
        <v>95</v>
      </c>
      <c r="E43" s="2" t="s">
        <v>78</v>
      </c>
      <c r="F43" s="2"/>
      <c r="H43" s="15">
        <f>'Исходные данные'!H14*SUM(H12:H13,H17:H21,H25:H27,H31:H32)</f>
        <v>37100</v>
      </c>
      <c r="I43" s="15">
        <f>'Исходные данные'!I14*SUM(I12:I13,I17:I21,I25:I27,I31:I32)</f>
        <v>43520</v>
      </c>
      <c r="J43" s="15">
        <f>'Исходные данные'!J14*SUM(J12:J13,J17:J21,J25:J27,J31:J32)</f>
        <v>48696.485024979585</v>
      </c>
      <c r="K43" s="15">
        <f>'Исходные данные'!K14*SUM(K12:K13,K17:K21,K25:K27,K31:K32)</f>
        <v>52372.763552658522</v>
      </c>
      <c r="L43" s="15">
        <f>'Исходные данные'!L14*SUM(L12:L13,L17:L21,L25:L27,L31:L32)</f>
        <v>52613.176547259827</v>
      </c>
      <c r="M43" s="15">
        <f>'Исходные данные'!M14*SUM(M12:M13,M17:M21,M25:M27,M31:M32)</f>
        <v>53326.151503165718</v>
      </c>
      <c r="N43" s="15">
        <f>'Исходные данные'!N14*SUM(N12:N13,N17:N21,N25:N27,N31:N32)</f>
        <v>52969.664025212769</v>
      </c>
      <c r="O43" s="15">
        <f>'Исходные данные'!O14*SUM(O12:O13,O17:O21,O25:O27,O31:O32)</f>
        <v>52375.518228624525</v>
      </c>
      <c r="P43" s="15">
        <f>'Исходные данные'!P14*SUM(P12:P13,P17:P21,P25:P27,P31:P32)</f>
        <v>52256.689069306878</v>
      </c>
      <c r="Q43" s="15">
        <f>'Исходные данные'!Q14*SUM(Q12:Q13,Q17:Q21,Q25:Q27,Q31:Q32)</f>
        <v>52256.689069306878</v>
      </c>
      <c r="R43" s="15">
        <f>'Исходные данные'!R14*SUM(R12:R13,R17:R21,R25:R27,R31:R32)</f>
        <v>52137.859909989231</v>
      </c>
      <c r="S43" s="15">
        <f>'Исходные данные'!S14*SUM(S12:S13,S17:S21,S25:S27,S31:S32)</f>
        <v>52136.482572006236</v>
      </c>
      <c r="T43" s="15">
        <f>'Исходные данные'!T14*SUM(T12:T13,T17:T21,T25:T27,T31:T32)</f>
        <v>52017.653412688582</v>
      </c>
      <c r="U43" s="15">
        <f>'Исходные данные'!U14*SUM(U12:U13,U17:U21,U25:U27,U31:U32)</f>
        <v>52017.653412688582</v>
      </c>
      <c r="V43" s="15">
        <f>'Исходные данные'!V14*SUM(V12:V13,V17:V21,V25:V27,V31:V32)</f>
        <v>52017.653412688582</v>
      </c>
      <c r="W43"/>
    </row>
    <row r="44" spans="1:23" s="1" customFormat="1" outlineLevel="1" x14ac:dyDescent="0.35">
      <c r="D44" s="1" t="s">
        <v>96</v>
      </c>
      <c r="E44" s="2" t="s">
        <v>78</v>
      </c>
      <c r="F44" s="2"/>
      <c r="H44" s="15">
        <f>SUM(H36:H38)*'Исходные данные'!H23</f>
        <v>6500</v>
      </c>
      <c r="I44" s="15">
        <f>SUM(I36:I38)*'Исходные данные'!I23</f>
        <v>6500</v>
      </c>
      <c r="J44" s="15">
        <f>SUM(J36:J38)*'Исходные данные'!J23</f>
        <v>20150</v>
      </c>
      <c r="K44" s="15">
        <f>SUM(K36:K38)*'Исходные данные'!K23</f>
        <v>33800</v>
      </c>
      <c r="L44" s="15">
        <f>SUM(L36:L38)*'Исходные данные'!L23</f>
        <v>33800</v>
      </c>
      <c r="M44" s="15">
        <f>SUM(M36:M38)*'Исходные данные'!M23</f>
        <v>33800</v>
      </c>
      <c r="N44" s="15">
        <f>SUM(N36:N38)*'Исходные данные'!N23</f>
        <v>33800</v>
      </c>
      <c r="O44" s="15">
        <f>SUM(O36:O38)*'Исходные данные'!O23</f>
        <v>33800</v>
      </c>
      <c r="P44" s="15">
        <f>SUM(P36:P38)*'Исходные данные'!P23</f>
        <v>33800</v>
      </c>
      <c r="Q44" s="15">
        <f>SUM(Q36:Q38)*'Исходные данные'!Q23</f>
        <v>33800</v>
      </c>
      <c r="R44" s="15">
        <f>SUM(R36:R38)*'Исходные данные'!R23</f>
        <v>33800</v>
      </c>
      <c r="S44" s="15">
        <f>SUM(S36:S38)*'Исходные данные'!S23</f>
        <v>33800</v>
      </c>
      <c r="T44" s="15">
        <f>SUM(T36:T38)*'Исходные данные'!T23</f>
        <v>33800</v>
      </c>
      <c r="U44" s="15">
        <f>SUM(U36:U38)*'Исходные данные'!U23</f>
        <v>33800</v>
      </c>
      <c r="V44" s="15">
        <f>SUM(V36:V38)*'Исходные данные'!V23</f>
        <v>33800</v>
      </c>
      <c r="W44"/>
    </row>
    <row r="45" spans="1:23" s="1" customFormat="1" ht="13" outlineLevel="1" x14ac:dyDescent="0.3">
      <c r="D45" s="1" t="s">
        <v>97</v>
      </c>
      <c r="E45" s="2" t="s">
        <v>78</v>
      </c>
      <c r="F45" s="2"/>
      <c r="H45" s="15">
        <f>'Исходные данные'!H21*SUM(H36:H38)</f>
        <v>15000</v>
      </c>
      <c r="I45" s="15">
        <f>'Исходные данные'!I21*SUM(I36:I38)</f>
        <v>15000</v>
      </c>
      <c r="J45" s="15">
        <f>'Исходные данные'!J21*SUM(J36:J38)</f>
        <v>46500</v>
      </c>
      <c r="K45" s="15">
        <f>'Исходные данные'!K21*SUM(K36:K38)</f>
        <v>78000</v>
      </c>
      <c r="L45" s="15">
        <f>'Исходные данные'!L21*SUM(L36:L38)</f>
        <v>78000</v>
      </c>
      <c r="M45" s="15">
        <f>'Исходные данные'!M21*SUM(M36:M38)</f>
        <v>78000</v>
      </c>
      <c r="N45" s="15">
        <f>'Исходные данные'!N21*SUM(N36:N38)</f>
        <v>78000</v>
      </c>
      <c r="O45" s="15">
        <f>'Исходные данные'!O21*SUM(O36:O38)</f>
        <v>78000</v>
      </c>
      <c r="P45" s="15">
        <f>'Исходные данные'!P21*SUM(P36:P38)</f>
        <v>78000</v>
      </c>
      <c r="Q45" s="15">
        <f>'Исходные данные'!Q21*SUM(Q36:Q38)</f>
        <v>78000</v>
      </c>
      <c r="R45" s="15">
        <f>'Исходные данные'!R21*SUM(R36:R38)</f>
        <v>78000</v>
      </c>
      <c r="S45" s="15">
        <f>'Исходные данные'!S21*SUM(S36:S38)</f>
        <v>78000</v>
      </c>
      <c r="T45" s="15">
        <f>'Исходные данные'!T21*SUM(T36:T38)</f>
        <v>78000</v>
      </c>
      <c r="U45" s="15">
        <f>'Исходные данные'!U21*SUM(U36:U38)</f>
        <v>78000</v>
      </c>
      <c r="V45" s="15">
        <f>'Исходные данные'!V21*SUM(V36:V38)</f>
        <v>78000</v>
      </c>
    </row>
    <row r="47" spans="1:23" s="10" customFormat="1" ht="13" x14ac:dyDescent="0.3">
      <c r="A47" s="10">
        <v>8</v>
      </c>
      <c r="B47" s="10" t="s">
        <v>98</v>
      </c>
      <c r="C47" s="19"/>
      <c r="D47" s="19"/>
      <c r="E47" s="11"/>
      <c r="F47" s="11"/>
    </row>
    <row r="48" spans="1:23" s="1" customFormat="1" outlineLevel="1" x14ac:dyDescent="0.35">
      <c r="E48" s="2"/>
      <c r="H48"/>
    </row>
    <row r="49" spans="4:23" s="1" customFormat="1" outlineLevel="1" x14ac:dyDescent="0.35">
      <c r="D49" s="1" t="s">
        <v>89</v>
      </c>
      <c r="E49" s="2" t="s">
        <v>78</v>
      </c>
      <c r="F49" s="2"/>
      <c r="H49" s="15">
        <f>IF(H7&lt;=0,0,SUM(H42:H45)*'Исходные данные'!H88)</f>
        <v>0</v>
      </c>
      <c r="I49" s="15">
        <f>IF(I7&lt;=0,0,SUM(I42:I45)*'Исходные данные'!I88)</f>
        <v>0</v>
      </c>
      <c r="J49" s="15">
        <f>IF(J7&lt;=0,0,SUM(J42:J45)*'Исходные данные'!J88)</f>
        <v>154148.67304496325</v>
      </c>
      <c r="K49" s="15">
        <f>IF(K7&lt;=0,0,SUM(K42:K45)*'Исходные данные'!K88)</f>
        <v>205810.97439478533</v>
      </c>
      <c r="L49" s="15">
        <f>IF(L7&lt;=0,0,SUM(L42:L45)*'Исходные данные'!L88)</f>
        <v>206243.71778506768</v>
      </c>
      <c r="M49" s="15">
        <f>IF(M7&lt;=0,0,SUM(M42:M45)*'Исходные данные'!M88)</f>
        <v>207527.07270569829</v>
      </c>
      <c r="N49" s="15">
        <f>IF(N7&lt;=0,0,SUM(N42:N45)*'Исходные данные'!N88)</f>
        <v>206885.395245383</v>
      </c>
      <c r="O49" s="15">
        <f>IF(O7&lt;=0,0,SUM(O42:O45)*'Исходные данные'!O88)</f>
        <v>205815.93281152414</v>
      </c>
      <c r="P49" s="15">
        <f>IF(P7&lt;=0,0,SUM(P42:P45)*'Исходные данные'!P88)</f>
        <v>205602.04032475236</v>
      </c>
      <c r="Q49" s="15">
        <f>IF(Q7&lt;=0,0,SUM(Q42:Q45)*'Исходные данные'!Q88)</f>
        <v>205602.04032475236</v>
      </c>
      <c r="R49" s="15">
        <f>IF(R7&lt;=0,0,SUM(R42:R45)*'Исходные данные'!R88)</f>
        <v>205388.14783798056</v>
      </c>
      <c r="S49" s="15">
        <f>IF(S7&lt;=0,0,SUM(S42:S45)*'Исходные данные'!S88)</f>
        <v>205385.66862961117</v>
      </c>
      <c r="T49" s="15">
        <f>IF(T7&lt;=0,0,SUM(T42:T45)*'Исходные данные'!T88)</f>
        <v>205171.7761428394</v>
      </c>
      <c r="U49" s="15">
        <f>IF(U7&lt;=0,0,SUM(U42:U45)*'Исходные данные'!U88)</f>
        <v>205171.7761428394</v>
      </c>
      <c r="V49" s="15"/>
      <c r="W49"/>
    </row>
    <row r="50" spans="4:23" s="1" customFormat="1" ht="13" outlineLevel="1" x14ac:dyDescent="0.3">
      <c r="D50" s="1" t="s">
        <v>99</v>
      </c>
      <c r="E50" s="2" t="s">
        <v>78</v>
      </c>
      <c r="F50" s="2"/>
      <c r="H50" s="15">
        <f>H49-G49</f>
        <v>0</v>
      </c>
      <c r="I50" s="15">
        <f>I49-H49</f>
        <v>0</v>
      </c>
      <c r="J50" s="15">
        <f t="shared" ref="J50:V50" si="3">J49-I49</f>
        <v>154148.67304496325</v>
      </c>
      <c r="K50" s="15">
        <f t="shared" si="3"/>
        <v>51662.301349822083</v>
      </c>
      <c r="L50" s="15">
        <f t="shared" si="3"/>
        <v>432.74339028235408</v>
      </c>
      <c r="M50" s="15">
        <f t="shared" si="3"/>
        <v>1283.3549206306052</v>
      </c>
      <c r="N50" s="15">
        <f t="shared" si="3"/>
        <v>-641.67746031528804</v>
      </c>
      <c r="O50" s="15">
        <f t="shared" si="3"/>
        <v>-1069.4624338588619</v>
      </c>
      <c r="P50" s="15">
        <f t="shared" si="3"/>
        <v>-213.89248677177238</v>
      </c>
      <c r="Q50" s="15">
        <f t="shared" si="3"/>
        <v>0</v>
      </c>
      <c r="R50" s="15">
        <f t="shared" si="3"/>
        <v>-213.89248677180149</v>
      </c>
      <c r="S50" s="15">
        <f t="shared" si="3"/>
        <v>-2.4792083693901077</v>
      </c>
      <c r="T50" s="15">
        <f t="shared" si="3"/>
        <v>-213.89248677177238</v>
      </c>
      <c r="U50" s="15">
        <f t="shared" si="3"/>
        <v>0</v>
      </c>
      <c r="V50" s="15">
        <f t="shared" si="3"/>
        <v>-205171.7761428394</v>
      </c>
    </row>
  </sheetData>
  <pageMargins left="0.70866141732283472" right="0.70866141732283472" top="0.74803149606299213" bottom="0.74803149606299213" header="0.31496062992125984" footer="0.31496062992125984"/>
  <pageSetup paperSize="9" scale="51" fitToHeight="3" orientation="landscape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  <pageSetUpPr fitToPage="1"/>
  </sheetPr>
  <dimension ref="A1:Y37"/>
  <sheetViews>
    <sheetView topLeftCell="A25" zoomScaleNormal="100" workbookViewId="0">
      <selection activeCell="O26" sqref="O26"/>
    </sheetView>
  </sheetViews>
  <sheetFormatPr defaultRowHeight="14.5" outlineLevelRow="1" x14ac:dyDescent="0.35"/>
  <cols>
    <col min="1" max="1" width="3.453125" bestFit="1" customWidth="1"/>
    <col min="2" max="3" width="2.54296875" customWidth="1"/>
    <col min="4" max="4" width="53.7265625" bestFit="1" customWidth="1"/>
    <col min="5" max="5" width="12.453125" bestFit="1" customWidth="1"/>
    <col min="6" max="7" width="2.1796875" customWidth="1"/>
    <col min="8" max="8" width="11" customWidth="1"/>
    <col min="9" max="9" width="12.7265625" customWidth="1"/>
    <col min="10" max="10" width="11.7265625" customWidth="1"/>
    <col min="11" max="11" width="11.26953125" customWidth="1"/>
    <col min="12" max="12" width="11.1796875" customWidth="1"/>
    <col min="13" max="13" width="11.453125" customWidth="1"/>
    <col min="14" max="14" width="11.7265625" customWidth="1"/>
    <col min="15" max="15" width="11.54296875" customWidth="1"/>
    <col min="16" max="16" width="10.90625" customWidth="1"/>
    <col min="17" max="17" width="11.26953125" customWidth="1"/>
    <col min="18" max="18" width="11.453125" customWidth="1"/>
    <col min="19" max="19" width="12.6328125" customWidth="1"/>
    <col min="20" max="22" width="11.26953125" bestFit="1" customWidth="1"/>
  </cols>
  <sheetData>
    <row r="1" spans="1:25" s="4" customFormat="1" ht="12.75" customHeight="1" x14ac:dyDescent="0.3">
      <c r="A1" s="3"/>
      <c r="B1" s="3" t="s">
        <v>0</v>
      </c>
      <c r="E1" s="3"/>
      <c r="G1" s="5"/>
    </row>
    <row r="2" spans="1:25" s="4" customFormat="1" ht="13" x14ac:dyDescent="0.3">
      <c r="D2" s="4" t="s">
        <v>29</v>
      </c>
      <c r="H2" s="6">
        <f t="shared" ref="H2:V2" si="0">период</f>
        <v>1</v>
      </c>
      <c r="I2" s="6">
        <f t="shared" si="0"/>
        <v>2</v>
      </c>
      <c r="J2" s="6">
        <f t="shared" si="0"/>
        <v>3</v>
      </c>
      <c r="K2" s="6">
        <f t="shared" si="0"/>
        <v>4</v>
      </c>
      <c r="L2" s="6">
        <f t="shared" si="0"/>
        <v>5</v>
      </c>
      <c r="M2" s="6">
        <f t="shared" si="0"/>
        <v>6</v>
      </c>
      <c r="N2" s="6">
        <f t="shared" si="0"/>
        <v>7</v>
      </c>
      <c r="O2" s="6">
        <f t="shared" si="0"/>
        <v>8</v>
      </c>
      <c r="P2" s="6">
        <f t="shared" si="0"/>
        <v>9</v>
      </c>
      <c r="Q2" s="6">
        <f t="shared" si="0"/>
        <v>10</v>
      </c>
      <c r="R2" s="6">
        <f t="shared" si="0"/>
        <v>11</v>
      </c>
      <c r="S2" s="6">
        <f t="shared" si="0"/>
        <v>12</v>
      </c>
      <c r="T2" s="6">
        <f t="shared" si="0"/>
        <v>13</v>
      </c>
      <c r="U2" s="6">
        <f t="shared" si="0"/>
        <v>14</v>
      </c>
      <c r="V2" s="6">
        <f t="shared" si="0"/>
        <v>15</v>
      </c>
      <c r="W2" s="6"/>
      <c r="X2" s="6"/>
      <c r="Y2" s="6"/>
    </row>
    <row r="3" spans="1:25" s="4" customFormat="1" ht="13" x14ac:dyDescent="0.3">
      <c r="D3" s="4" t="s">
        <v>19</v>
      </c>
      <c r="E3" s="7"/>
      <c r="G3" s="8"/>
      <c r="H3" s="14">
        <f t="shared" ref="H3:V3" si="1">период_знач</f>
        <v>2020</v>
      </c>
      <c r="I3" s="14">
        <f t="shared" si="1"/>
        <v>2021</v>
      </c>
      <c r="J3" s="14">
        <f t="shared" si="1"/>
        <v>2022</v>
      </c>
      <c r="K3" s="14">
        <f t="shared" si="1"/>
        <v>2023</v>
      </c>
      <c r="L3" s="14">
        <f t="shared" si="1"/>
        <v>2024</v>
      </c>
      <c r="M3" s="14">
        <f t="shared" si="1"/>
        <v>2025</v>
      </c>
      <c r="N3" s="14">
        <f t="shared" si="1"/>
        <v>2026</v>
      </c>
      <c r="O3" s="14">
        <f t="shared" si="1"/>
        <v>2027</v>
      </c>
      <c r="P3" s="14">
        <f t="shared" si="1"/>
        <v>2028</v>
      </c>
      <c r="Q3" s="14">
        <f t="shared" si="1"/>
        <v>2029</v>
      </c>
      <c r="R3" s="14">
        <f t="shared" si="1"/>
        <v>2030</v>
      </c>
      <c r="S3" s="14">
        <f t="shared" si="1"/>
        <v>2031</v>
      </c>
      <c r="T3" s="14">
        <f t="shared" si="1"/>
        <v>2032</v>
      </c>
      <c r="U3" s="14">
        <f t="shared" si="1"/>
        <v>2033</v>
      </c>
      <c r="V3" s="14">
        <f t="shared" si="1"/>
        <v>2034</v>
      </c>
      <c r="W3" s="9"/>
      <c r="X3" s="9"/>
      <c r="Y3" s="9"/>
    </row>
    <row r="5" spans="1:25" s="10" customFormat="1" ht="13" x14ac:dyDescent="0.3">
      <c r="A5" s="10">
        <v>1</v>
      </c>
      <c r="B5" s="10" t="s">
        <v>112</v>
      </c>
      <c r="E5" s="11"/>
      <c r="F5" s="11"/>
    </row>
    <row r="6" spans="1:25" s="1" customFormat="1" outlineLevel="1" x14ac:dyDescent="0.35">
      <c r="E6" s="2"/>
      <c r="H6"/>
    </row>
    <row r="7" spans="1:25" s="1" customFormat="1" outlineLevel="1" x14ac:dyDescent="0.35">
      <c r="D7" s="1" t="s">
        <v>109</v>
      </c>
      <c r="E7" s="2" t="s">
        <v>78</v>
      </c>
      <c r="F7" s="2"/>
      <c r="H7" s="15">
        <f>Выручка!H20</f>
        <v>0</v>
      </c>
      <c r="I7" s="15">
        <f>Выручка!I20</f>
        <v>0</v>
      </c>
      <c r="J7" s="15">
        <f>Выручка!J20</f>
        <v>27054.853237500447</v>
      </c>
      <c r="K7" s="15">
        <f>Выручка!K20</f>
        <v>53125.893630000879</v>
      </c>
      <c r="L7" s="15">
        <f>Выручка!L20</f>
        <v>55093.519320000916</v>
      </c>
      <c r="M7" s="15">
        <f>Выручка!M20</f>
        <v>55093.519320000916</v>
      </c>
      <c r="N7" s="15">
        <f>Выручка!N20</f>
        <v>55093.519320000916</v>
      </c>
      <c r="O7" s="15">
        <f>Выручка!O20</f>
        <v>55093.519320000916</v>
      </c>
      <c r="P7" s="15">
        <f>Выручка!P20</f>
        <v>55093.519320000916</v>
      </c>
      <c r="Q7" s="15">
        <f>Выручка!Q20</f>
        <v>55093.519320000916</v>
      </c>
      <c r="R7" s="15">
        <f>Выручка!R20</f>
        <v>55093.519320000916</v>
      </c>
      <c r="S7" s="15">
        <f>Выручка!S20</f>
        <v>54109.706475000894</v>
      </c>
      <c r="T7" s="15">
        <f>Выручка!T20</f>
        <v>54109.706475000894</v>
      </c>
      <c r="U7" s="15">
        <f>Выручка!U20</f>
        <v>54109.706475000894</v>
      </c>
      <c r="V7" s="15">
        <f>Выручка!V20</f>
        <v>54109.706475000894</v>
      </c>
      <c r="W7"/>
    </row>
    <row r="8" spans="1:25" s="1" customFormat="1" outlineLevel="1" x14ac:dyDescent="0.35">
      <c r="D8" s="1" t="s">
        <v>113</v>
      </c>
      <c r="E8" s="2" t="s">
        <v>78</v>
      </c>
      <c r="F8" s="2"/>
      <c r="H8" s="15">
        <f>H7*'Исходные данные'!H19</f>
        <v>0</v>
      </c>
      <c r="I8" s="15">
        <f>I7*'Исходные данные'!I19</f>
        <v>0</v>
      </c>
      <c r="J8" s="15">
        <f>J7*'Исходные данные'!J19</f>
        <v>1758.5654604375291</v>
      </c>
      <c r="K8" s="15">
        <f>K7*'Исходные данные'!K19</f>
        <v>3453.1830859500574</v>
      </c>
      <c r="L8" s="15">
        <f>L7*'Исходные данные'!L19</f>
        <v>3581.0787558000598</v>
      </c>
      <c r="M8" s="15">
        <f>M7*'Исходные данные'!M19</f>
        <v>3581.0787558000598</v>
      </c>
      <c r="N8" s="15">
        <f>N7*'Исходные данные'!N19</f>
        <v>3581.0787558000598</v>
      </c>
      <c r="O8" s="15">
        <f>O7*'Исходные данные'!O19</f>
        <v>3581.0787558000598</v>
      </c>
      <c r="P8" s="15">
        <f>P7*'Исходные данные'!P19</f>
        <v>3581.0787558000598</v>
      </c>
      <c r="Q8" s="15">
        <f>Q7*'Исходные данные'!Q19</f>
        <v>3581.0787558000598</v>
      </c>
      <c r="R8" s="15">
        <f>R7*'Исходные данные'!R19</f>
        <v>3581.0787558000598</v>
      </c>
      <c r="S8" s="15">
        <f>S7*'Исходные данные'!S19</f>
        <v>3517.1309208750581</v>
      </c>
      <c r="T8" s="15">
        <f>T7*'Исходные данные'!T19</f>
        <v>3517.1309208750581</v>
      </c>
      <c r="U8" s="15">
        <f>U7*'Исходные данные'!U19</f>
        <v>3517.1309208750581</v>
      </c>
      <c r="V8" s="15">
        <f>V7*'Исходные данные'!V19</f>
        <v>3517.1309208750581</v>
      </c>
      <c r="W8"/>
    </row>
    <row r="9" spans="1:25" s="1" customFormat="1" outlineLevel="1" x14ac:dyDescent="0.35">
      <c r="D9" s="1" t="s">
        <v>110</v>
      </c>
      <c r="E9" s="2" t="s">
        <v>78</v>
      </c>
      <c r="F9" s="2"/>
      <c r="H9" s="15">
        <f>Выручка!H19</f>
        <v>0</v>
      </c>
      <c r="I9" s="15">
        <f>Выручка!I19</f>
        <v>0</v>
      </c>
      <c r="J9" s="15">
        <f>Выручка!J19</f>
        <v>1188291.5931764902</v>
      </c>
      <c r="K9" s="15">
        <f>Выручка!K19</f>
        <v>2291705.2154118028</v>
      </c>
      <c r="L9" s="15">
        <f>Выручка!L19</f>
        <v>2461461.1572941584</v>
      </c>
      <c r="M9" s="15">
        <f>Выручка!M19</f>
        <v>2970728.9829412256</v>
      </c>
      <c r="N9" s="15">
        <f>Выручка!N19</f>
        <v>2716095.070117692</v>
      </c>
      <c r="O9" s="15">
        <f>Выручка!O19</f>
        <v>2291705.2154118028</v>
      </c>
      <c r="P9" s="15">
        <f>Выручка!P19</f>
        <v>2206827.2444706247</v>
      </c>
      <c r="Q9" s="15">
        <f>Выручка!Q19</f>
        <v>2206827.2444706247</v>
      </c>
      <c r="R9" s="15">
        <f>Выручка!R19</f>
        <v>2121949.2735294467</v>
      </c>
      <c r="S9" s="15">
        <f>Выручка!S19</f>
        <v>2121949.2735294467</v>
      </c>
      <c r="T9" s="15">
        <f>Выручка!T19</f>
        <v>2037071.3025882691</v>
      </c>
      <c r="U9" s="15">
        <f>Выручка!U19</f>
        <v>2037071.3025882691</v>
      </c>
      <c r="V9" s="15">
        <f>Выручка!V19</f>
        <v>2037071.3025882691</v>
      </c>
      <c r="W9"/>
    </row>
    <row r="10" spans="1:25" s="1" customFormat="1" outlineLevel="1" x14ac:dyDescent="0.35">
      <c r="D10" s="1" t="s">
        <v>114</v>
      </c>
      <c r="E10" s="2" t="s">
        <v>78</v>
      </c>
      <c r="F10" s="2"/>
      <c r="H10" s="15">
        <f>H9*'Исходные данные'!H18</f>
        <v>0</v>
      </c>
      <c r="I10" s="15">
        <f>I9*'Исходные данные'!I18</f>
        <v>0</v>
      </c>
      <c r="J10" s="15">
        <f>J9*'Исходные данные'!J18</f>
        <v>71297.495590589402</v>
      </c>
      <c r="K10" s="15">
        <f>K9*'Исходные данные'!K18</f>
        <v>137502.31292470815</v>
      </c>
      <c r="L10" s="15">
        <f>L9*'Исходные данные'!L18</f>
        <v>147687.66943764949</v>
      </c>
      <c r="M10" s="15">
        <f>M9*'Исходные данные'!M18</f>
        <v>178243.73897647354</v>
      </c>
      <c r="N10" s="15">
        <f>N9*'Исходные данные'!N18</f>
        <v>162965.70420706153</v>
      </c>
      <c r="O10" s="15">
        <f>O9*'Исходные данные'!O18</f>
        <v>137502.31292470815</v>
      </c>
      <c r="P10" s="15">
        <f>P9*'Исходные данные'!P18</f>
        <v>132409.63466823747</v>
      </c>
      <c r="Q10" s="15">
        <f>Q9*'Исходные данные'!Q18</f>
        <v>132409.63466823747</v>
      </c>
      <c r="R10" s="15">
        <f>R9*'Исходные данные'!R18</f>
        <v>127316.95641176679</v>
      </c>
      <c r="S10" s="15">
        <f>S9*'Исходные данные'!S18</f>
        <v>127316.95641176679</v>
      </c>
      <c r="T10" s="15">
        <f>T9*'Исходные данные'!T18</f>
        <v>122224.27815529614</v>
      </c>
      <c r="U10" s="15">
        <f>U9*'Исходные данные'!U18</f>
        <v>122224.27815529614</v>
      </c>
      <c r="V10" s="15">
        <f>V9*'Исходные данные'!V18</f>
        <v>122224.27815529614</v>
      </c>
      <c r="W10"/>
    </row>
    <row r="12" spans="1:25" s="10" customFormat="1" ht="13" x14ac:dyDescent="0.3">
      <c r="A12" s="10">
        <v>2</v>
      </c>
      <c r="B12" s="10" t="s">
        <v>7</v>
      </c>
      <c r="E12" s="11"/>
      <c r="F12" s="11"/>
    </row>
    <row r="13" spans="1:25" s="1" customFormat="1" outlineLevel="1" x14ac:dyDescent="0.35">
      <c r="E13" s="2"/>
      <c r="H13"/>
    </row>
    <row r="14" spans="1:25" s="1" customFormat="1" outlineLevel="1" x14ac:dyDescent="0.35">
      <c r="D14" s="1" t="s">
        <v>117</v>
      </c>
      <c r="E14" s="2" t="s">
        <v>78</v>
      </c>
      <c r="F14" s="2"/>
      <c r="H14" s="15">
        <f>SUM(CAPEX!$H$12:H13,CAPEX!$H$16:H16,CAPEX!$H$19:H20)</f>
        <v>40000</v>
      </c>
      <c r="I14" s="15">
        <f>SUM(CAPEX!$H$12:I13,CAPEX!$H$16:I16,CAPEX!$H$19:I20)</f>
        <v>1110000</v>
      </c>
      <c r="J14" s="15">
        <f>SUM(CAPEX!$H$12:J13,CAPEX!$H$16:J16,CAPEX!$H$19:J20)</f>
        <v>1385000</v>
      </c>
      <c r="K14" s="15">
        <f>SUM(CAPEX!$H$12:K13,CAPEX!$H$16:K16,CAPEX!$H$19:K20)</f>
        <v>1430000</v>
      </c>
      <c r="L14" s="15">
        <f>SUM(CAPEX!$H$12:L13,CAPEX!$H$16:L16,CAPEX!$H$19:L20)</f>
        <v>1430000</v>
      </c>
      <c r="M14" s="15">
        <f>SUM(CAPEX!$H$12:M13,CAPEX!$H$16:M16,CAPEX!$H$19:M20)</f>
        <v>1430000</v>
      </c>
      <c r="N14" s="15">
        <f>SUM(CAPEX!$H$12:N13,CAPEX!$H$16:N16,CAPEX!$H$19:N20)</f>
        <v>1430000</v>
      </c>
      <c r="O14" s="15">
        <f>SUM(CAPEX!$H$12:O13,CAPEX!$H$16:O16,CAPEX!$H$19:O20)</f>
        <v>1430000</v>
      </c>
      <c r="P14" s="15">
        <f>SUM(CAPEX!$H$12:P13,CAPEX!$H$16:P16,CAPEX!$H$19:P20)</f>
        <v>1430000</v>
      </c>
      <c r="Q14" s="15">
        <f>SUM(CAPEX!$H$12:Q13,CAPEX!$H$16:Q16,CAPEX!$H$19:Q20)</f>
        <v>1430000</v>
      </c>
      <c r="R14" s="15">
        <f>SUM(CAPEX!$H$12:R13,CAPEX!$H$16:R16,CAPEX!$H$19:R20)</f>
        <v>1430000</v>
      </c>
      <c r="S14" s="15">
        <f>SUM(CAPEX!$H$12:S13,CAPEX!$H$16:S16,CAPEX!$H$19:S20)</f>
        <v>1430000</v>
      </c>
      <c r="T14" s="15">
        <f>SUM(CAPEX!$H$12:T13,CAPEX!$H$16:T16,CAPEX!$H$19:T20)</f>
        <v>1430000</v>
      </c>
      <c r="U14" s="15">
        <f>SUM(CAPEX!$H$12:U13,CAPEX!$H$16:U16,CAPEX!$H$19:U20)</f>
        <v>1430000</v>
      </c>
      <c r="V14" s="15">
        <f>SUM(CAPEX!$H$12:V13,CAPEX!$H$16:V16,CAPEX!$H$19:V20)</f>
        <v>1430000</v>
      </c>
      <c r="W14"/>
    </row>
    <row r="15" spans="1:25" s="1" customFormat="1" outlineLevel="1" x14ac:dyDescent="0.35">
      <c r="D15" s="1" t="s">
        <v>121</v>
      </c>
      <c r="E15" s="2" t="s">
        <v>78</v>
      </c>
      <c r="F15" s="2"/>
      <c r="H15" s="15">
        <v>0</v>
      </c>
      <c r="I15" s="15">
        <f>H19</f>
        <v>39000</v>
      </c>
      <c r="J15" s="15">
        <f t="shared" ref="J15:V15" si="2">I19</f>
        <v>1080250</v>
      </c>
      <c r="K15" s="15">
        <f>J19</f>
        <v>1292875</v>
      </c>
      <c r="L15" s="15">
        <f t="shared" si="2"/>
        <v>1267500</v>
      </c>
      <c r="M15" s="15">
        <f t="shared" si="2"/>
        <v>1196000</v>
      </c>
      <c r="N15" s="15">
        <f t="shared" si="2"/>
        <v>1124500</v>
      </c>
      <c r="O15" s="15">
        <f t="shared" si="2"/>
        <v>1053000</v>
      </c>
      <c r="P15" s="15">
        <f t="shared" si="2"/>
        <v>981500</v>
      </c>
      <c r="Q15" s="15">
        <f t="shared" si="2"/>
        <v>910000</v>
      </c>
      <c r="R15" s="15">
        <f t="shared" si="2"/>
        <v>838500</v>
      </c>
      <c r="S15" s="15">
        <f t="shared" si="2"/>
        <v>767000</v>
      </c>
      <c r="T15" s="15">
        <f t="shared" si="2"/>
        <v>695500</v>
      </c>
      <c r="U15" s="15">
        <f t="shared" si="2"/>
        <v>624000</v>
      </c>
      <c r="V15" s="15">
        <f t="shared" si="2"/>
        <v>552500</v>
      </c>
      <c r="W15"/>
    </row>
    <row r="16" spans="1:25" s="1" customFormat="1" outlineLevel="1" x14ac:dyDescent="0.35">
      <c r="D16" s="1" t="s">
        <v>118</v>
      </c>
      <c r="E16" s="2" t="s">
        <v>78</v>
      </c>
      <c r="F16" s="2"/>
      <c r="H16" s="15">
        <f>H14</f>
        <v>40000</v>
      </c>
      <c r="I16" s="15">
        <f>I14-H14</f>
        <v>1070000</v>
      </c>
      <c r="J16" s="15">
        <f t="shared" ref="J16:V16" si="3">J14-I14</f>
        <v>275000</v>
      </c>
      <c r="K16" s="15">
        <f t="shared" si="3"/>
        <v>45000</v>
      </c>
      <c r="L16" s="15">
        <f t="shared" si="3"/>
        <v>0</v>
      </c>
      <c r="M16" s="15">
        <f t="shared" si="3"/>
        <v>0</v>
      </c>
      <c r="N16" s="15">
        <f t="shared" si="3"/>
        <v>0</v>
      </c>
      <c r="O16" s="15">
        <f t="shared" si="3"/>
        <v>0</v>
      </c>
      <c r="P16" s="15">
        <f t="shared" si="3"/>
        <v>0</v>
      </c>
      <c r="Q16" s="15">
        <f t="shared" si="3"/>
        <v>0</v>
      </c>
      <c r="R16" s="15">
        <f t="shared" si="3"/>
        <v>0</v>
      </c>
      <c r="S16" s="15">
        <f t="shared" si="3"/>
        <v>0</v>
      </c>
      <c r="T16" s="15">
        <f t="shared" si="3"/>
        <v>0</v>
      </c>
      <c r="U16" s="15">
        <f t="shared" si="3"/>
        <v>0</v>
      </c>
      <c r="V16" s="15">
        <f t="shared" si="3"/>
        <v>0</v>
      </c>
      <c r="W16"/>
    </row>
    <row r="17" spans="1:23" s="1" customFormat="1" outlineLevel="1" x14ac:dyDescent="0.35">
      <c r="D17" s="1" t="s">
        <v>119</v>
      </c>
      <c r="E17" s="2" t="s">
        <v>78</v>
      </c>
      <c r="F17" s="2"/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/>
    </row>
    <row r="18" spans="1:23" s="1" customFormat="1" outlineLevel="1" x14ac:dyDescent="0.35">
      <c r="D18" s="1" t="s">
        <v>120</v>
      </c>
      <c r="E18" s="2" t="s">
        <v>78</v>
      </c>
      <c r="F18" s="2"/>
      <c r="H18" s="15">
        <f>H16/CAPEX!$H$25/2</f>
        <v>1000</v>
      </c>
      <c r="I18" s="15">
        <f>H14/CAPEX!$H$25+I16/CAPEX!$H$25/2</f>
        <v>28750</v>
      </c>
      <c r="J18" s="15">
        <f>I14/CAPEX!$H$25+J16/CAPEX!$H$25/2</f>
        <v>62375</v>
      </c>
      <c r="K18" s="15">
        <f>J14/CAPEX!$H$25+K16/CAPEX!$H$25/2</f>
        <v>70375</v>
      </c>
      <c r="L18" s="15">
        <f>K14/CAPEX!$H$25+L16/CAPEX!$H$25/2</f>
        <v>71500</v>
      </c>
      <c r="M18" s="15">
        <f>L14/CAPEX!$H$25+M16/CAPEX!$H$25/2</f>
        <v>71500</v>
      </c>
      <c r="N18" s="15">
        <f>M14/CAPEX!$H$25+N16/CAPEX!$H$25/2</f>
        <v>71500</v>
      </c>
      <c r="O18" s="15">
        <f>N14/CAPEX!$H$25+O16/CAPEX!$H$25/2</f>
        <v>71500</v>
      </c>
      <c r="P18" s="15">
        <f>O14/CAPEX!$H$25+P16/CAPEX!$H$25/2</f>
        <v>71500</v>
      </c>
      <c r="Q18" s="15">
        <f>P14/CAPEX!$H$25+Q16/CAPEX!$H$25/2</f>
        <v>71500</v>
      </c>
      <c r="R18" s="15">
        <f>Q14/CAPEX!$H$25+R16/CAPEX!$H$25/2</f>
        <v>71500</v>
      </c>
      <c r="S18" s="15">
        <f>R14/CAPEX!$H$25+S16/CAPEX!$H$25/2</f>
        <v>71500</v>
      </c>
      <c r="T18" s="15">
        <f>S14/CAPEX!$H$25+T16/CAPEX!$H$25/2</f>
        <v>71500</v>
      </c>
      <c r="U18" s="15">
        <f>T14/CAPEX!$H$25+U16/CAPEX!$H$25/2</f>
        <v>71500</v>
      </c>
      <c r="V18" s="15">
        <f>U14/CAPEX!$H$25+V16/CAPEX!$H$25/2</f>
        <v>71500</v>
      </c>
      <c r="W18"/>
    </row>
    <row r="19" spans="1:23" s="1" customFormat="1" outlineLevel="1" x14ac:dyDescent="0.35">
      <c r="D19" s="1" t="s">
        <v>122</v>
      </c>
      <c r="E19" s="2" t="s">
        <v>78</v>
      </c>
      <c r="F19" s="2"/>
      <c r="H19" s="15">
        <f>H15+H16-H17-H18</f>
        <v>39000</v>
      </c>
      <c r="I19" s="15">
        <f t="shared" ref="I19:V19" si="4">I15+I16-I17-I18</f>
        <v>1080250</v>
      </c>
      <c r="J19" s="15">
        <f t="shared" si="4"/>
        <v>1292875</v>
      </c>
      <c r="K19" s="15">
        <f t="shared" si="4"/>
        <v>1267500</v>
      </c>
      <c r="L19" s="15">
        <f t="shared" si="4"/>
        <v>1196000</v>
      </c>
      <c r="M19" s="15">
        <f t="shared" si="4"/>
        <v>1124500</v>
      </c>
      <c r="N19" s="15">
        <f t="shared" si="4"/>
        <v>1053000</v>
      </c>
      <c r="O19" s="15">
        <f t="shared" si="4"/>
        <v>981500</v>
      </c>
      <c r="P19" s="15">
        <f t="shared" si="4"/>
        <v>910000</v>
      </c>
      <c r="Q19" s="15">
        <f t="shared" si="4"/>
        <v>838500</v>
      </c>
      <c r="R19" s="15">
        <f t="shared" si="4"/>
        <v>767000</v>
      </c>
      <c r="S19" s="15">
        <f t="shared" si="4"/>
        <v>695500</v>
      </c>
      <c r="T19" s="15">
        <f t="shared" si="4"/>
        <v>624000</v>
      </c>
      <c r="U19" s="15">
        <f t="shared" si="4"/>
        <v>552500</v>
      </c>
      <c r="V19" s="15">
        <f t="shared" si="4"/>
        <v>481000</v>
      </c>
      <c r="W19"/>
    </row>
    <row r="20" spans="1:23" s="1" customFormat="1" outlineLevel="1" x14ac:dyDescent="0.35">
      <c r="D20" s="1" t="s">
        <v>123</v>
      </c>
      <c r="E20" s="2" t="s">
        <v>78</v>
      </c>
      <c r="F20" s="2"/>
      <c r="H20" s="15">
        <f>(H15+H19)/2</f>
        <v>19500</v>
      </c>
      <c r="I20" s="15">
        <f t="shared" ref="I20:V20" si="5">(I15+I19)/2</f>
        <v>559625</v>
      </c>
      <c r="J20" s="15">
        <f t="shared" si="5"/>
        <v>1186562.5</v>
      </c>
      <c r="K20" s="15">
        <f t="shared" si="5"/>
        <v>1280187.5</v>
      </c>
      <c r="L20" s="15">
        <f t="shared" si="5"/>
        <v>1231750</v>
      </c>
      <c r="M20" s="15">
        <f t="shared" si="5"/>
        <v>1160250</v>
      </c>
      <c r="N20" s="15">
        <f t="shared" si="5"/>
        <v>1088750</v>
      </c>
      <c r="O20" s="15">
        <f t="shared" si="5"/>
        <v>1017250</v>
      </c>
      <c r="P20" s="15">
        <f t="shared" si="5"/>
        <v>945750</v>
      </c>
      <c r="Q20" s="15">
        <f t="shared" si="5"/>
        <v>874250</v>
      </c>
      <c r="R20" s="15">
        <f t="shared" si="5"/>
        <v>802750</v>
      </c>
      <c r="S20" s="15">
        <f t="shared" si="5"/>
        <v>731250</v>
      </c>
      <c r="T20" s="15">
        <f t="shared" si="5"/>
        <v>659750</v>
      </c>
      <c r="U20" s="15">
        <f t="shared" si="5"/>
        <v>588250</v>
      </c>
      <c r="V20" s="15">
        <f t="shared" si="5"/>
        <v>516750</v>
      </c>
      <c r="W20"/>
    </row>
    <row r="21" spans="1:23" s="1" customFormat="1" outlineLevel="1" x14ac:dyDescent="0.35">
      <c r="D21" s="1" t="s">
        <v>7</v>
      </c>
      <c r="E21" s="2" t="s">
        <v>78</v>
      </c>
      <c r="F21" s="2"/>
      <c r="H21" s="15">
        <f>H20*'Исходные данные'!H20</f>
        <v>429</v>
      </c>
      <c r="I21" s="15">
        <f>I20*'Исходные данные'!I20</f>
        <v>12311.75</v>
      </c>
      <c r="J21" s="15">
        <f>J20*'Исходные данные'!J20</f>
        <v>26104.375</v>
      </c>
      <c r="K21" s="15">
        <f>K20*'Исходные данные'!K20</f>
        <v>28164.125</v>
      </c>
      <c r="L21" s="15">
        <f>L20*'Исходные данные'!L20</f>
        <v>27098.5</v>
      </c>
      <c r="M21" s="15">
        <f>M20*'Исходные данные'!M20</f>
        <v>25525.5</v>
      </c>
      <c r="N21" s="15">
        <f>N20*'Исходные данные'!N20</f>
        <v>23952.5</v>
      </c>
      <c r="O21" s="15">
        <f>O20*'Исходные данные'!O20</f>
        <v>22379.5</v>
      </c>
      <c r="P21" s="15">
        <f>P20*'Исходные данные'!P20</f>
        <v>20806.5</v>
      </c>
      <c r="Q21" s="15">
        <f>Q20*'Исходные данные'!Q20</f>
        <v>19233.5</v>
      </c>
      <c r="R21" s="15">
        <f>R20*'Исходные данные'!R20</f>
        <v>17660.5</v>
      </c>
      <c r="S21" s="15">
        <f>S20*'Исходные данные'!S20</f>
        <v>16087.499999999998</v>
      </c>
      <c r="T21" s="15">
        <f>T20*'Исходные данные'!T20</f>
        <v>14514.5</v>
      </c>
      <c r="U21" s="15">
        <f>U20*'Исходные данные'!U20</f>
        <v>12941.5</v>
      </c>
      <c r="V21" s="15">
        <f>V20*'Исходные данные'!V20</f>
        <v>11368.5</v>
      </c>
      <c r="W21"/>
    </row>
    <row r="23" spans="1:23" s="10" customFormat="1" ht="13" x14ac:dyDescent="0.3">
      <c r="A23" s="10">
        <v>3</v>
      </c>
      <c r="B23" s="10" t="s">
        <v>9</v>
      </c>
      <c r="E23" s="11"/>
      <c r="F23" s="11"/>
    </row>
    <row r="24" spans="1:23" s="1" customFormat="1" outlineLevel="1" x14ac:dyDescent="0.35">
      <c r="E24" s="2"/>
      <c r="H24"/>
    </row>
    <row r="25" spans="1:23" s="1" customFormat="1" outlineLevel="1" x14ac:dyDescent="0.35">
      <c r="D25" s="1" t="s">
        <v>136</v>
      </c>
      <c r="E25" s="2" t="s">
        <v>78</v>
      </c>
      <c r="F25" s="2"/>
      <c r="H25" s="34">
        <f ca="1">SUM('Cash Flow'!H7:H9,'Cash Flow'!H18,'Cash Flow'!H25)-H18</f>
        <v>-282544.86486486485</v>
      </c>
      <c r="I25" s="34">
        <f ca="1">SUM('Cash Flow'!I7:I9,'Cash Flow'!I18,'Cash Flow'!I25)-I18</f>
        <v>-493499.70781592402</v>
      </c>
      <c r="J25" s="34">
        <f ca="1">SUM('Cash Flow'!J7:J9,'Cash Flow'!J18,'Cash Flow'!J25)-J18</f>
        <v>305650.13390008133</v>
      </c>
      <c r="K25" s="34">
        <f ca="1">SUM('Cash Flow'!K7:K9,'Cash Flow'!K18,'Cash Flow'!K25)-K18</f>
        <v>1265047.1515685914</v>
      </c>
      <c r="L25" s="34">
        <f ca="1">SUM('Cash Flow'!L7:L9,'Cash Flow'!L18,'Cash Flow'!L25)-L18</f>
        <v>1569002.3853720746</v>
      </c>
      <c r="M25" s="34">
        <f ca="1">SUM('Cash Flow'!M7:M9,'Cash Flow'!M18,'Cash Flow'!M25)-M18</f>
        <v>2108541.4270131243</v>
      </c>
      <c r="N25" s="34">
        <f ca="1">SUM('Cash Flow'!N7:N9,'Cash Flow'!N18,'Cash Flow'!N25)-N18</f>
        <v>1872540.9863487678</v>
      </c>
      <c r="O25" s="34">
        <f ca="1">SUM('Cash Flow'!O7:O9,'Cash Flow'!O18,'Cash Flow'!O25)-O18</f>
        <v>1478158.2519081729</v>
      </c>
      <c r="P25" s="34">
        <f ca="1">SUM('Cash Flow'!P7:P9,'Cash Flow'!P18,'Cash Flow'!P25)-P18</f>
        <v>1400540.1050200537</v>
      </c>
      <c r="Q25" s="34">
        <f ca="1">SUM('Cash Flow'!Q7:Q9,'Cash Flow'!Q18,'Cash Flow'!Q25)-Q18</f>
        <v>1402113.1050200537</v>
      </c>
      <c r="R25" s="34">
        <f ca="1">SUM('Cash Flow'!R7:R9,'Cash Flow'!R18,'Cash Flow'!R25)-R18</f>
        <v>1324494.9581319345</v>
      </c>
      <c r="S25" s="34">
        <f ca="1">SUM('Cash Flow'!S7:S9,'Cash Flow'!S18,'Cash Flow'!S25)-S18</f>
        <v>1325154.9798117715</v>
      </c>
      <c r="T25" s="34">
        <f ca="1">SUM('Cash Flow'!T7:T9,'Cash Flow'!T18,'Cash Flow'!T25)-T18</f>
        <v>1247536.8329236622</v>
      </c>
      <c r="U25" s="34">
        <f ca="1">SUM('Cash Flow'!U7:U9,'Cash Flow'!U18,'Cash Flow'!U25)-U18</f>
        <v>1249109.8329237462</v>
      </c>
      <c r="V25" s="34">
        <f ca="1">SUM('Cash Flow'!V7:V9,'Cash Flow'!V18,'Cash Flow'!V25)-V18</f>
        <v>1250682.8329232791</v>
      </c>
      <c r="W25"/>
    </row>
    <row r="26" spans="1:23" s="1" customFormat="1" outlineLevel="1" x14ac:dyDescent="0.35">
      <c r="D26" s="1" t="s">
        <v>143</v>
      </c>
      <c r="E26" s="2" t="s">
        <v>78</v>
      </c>
      <c r="F26" s="2"/>
      <c r="H26" s="34">
        <f ca="1">H25</f>
        <v>-282544.86486486485</v>
      </c>
      <c r="I26" s="34">
        <f ca="1">H26+I25</f>
        <v>-776044.57268078881</v>
      </c>
      <c r="J26" s="34">
        <f t="shared" ref="J26:V26" ca="1" si="6">I26+J25</f>
        <v>-470394.43878070748</v>
      </c>
      <c r="K26" s="34">
        <f t="shared" ca="1" si="6"/>
        <v>794652.71278788382</v>
      </c>
      <c r="L26" s="34">
        <f t="shared" ca="1" si="6"/>
        <v>2363655.0981599586</v>
      </c>
      <c r="M26" s="34">
        <f t="shared" ca="1" si="6"/>
        <v>4472196.5251730829</v>
      </c>
      <c r="N26" s="34">
        <f t="shared" ca="1" si="6"/>
        <v>6344737.5115218507</v>
      </c>
      <c r="O26" s="34">
        <f t="shared" ca="1" si="6"/>
        <v>7822895.7634300236</v>
      </c>
      <c r="P26" s="34">
        <f t="shared" ca="1" si="6"/>
        <v>9223435.8684500773</v>
      </c>
      <c r="Q26" s="34">
        <f t="shared" ca="1" si="6"/>
        <v>10625548.973470131</v>
      </c>
      <c r="R26" s="34">
        <f t="shared" ca="1" si="6"/>
        <v>11950043.931602065</v>
      </c>
      <c r="S26" s="34">
        <f t="shared" ca="1" si="6"/>
        <v>13275198.911413835</v>
      </c>
      <c r="T26" s="34">
        <f t="shared" ca="1" si="6"/>
        <v>14522735.744337497</v>
      </c>
      <c r="U26" s="34">
        <f t="shared" ca="1" si="6"/>
        <v>15771845.577261243</v>
      </c>
      <c r="V26" s="34">
        <f t="shared" ca="1" si="6"/>
        <v>17022528.410184521</v>
      </c>
      <c r="W26"/>
    </row>
    <row r="27" spans="1:23" s="1" customFormat="1" outlineLevel="1" x14ac:dyDescent="0.35">
      <c r="D27" s="1" t="s">
        <v>9</v>
      </c>
      <c r="E27" s="2" t="s">
        <v>78</v>
      </c>
      <c r="F27" s="2"/>
      <c r="H27" s="34">
        <f ca="1">IF(H26&lt;=0,0,IF(H25&lt;=0,0,IF(G26&gt;0,H25*'Исходные данные'!H22,Налоги!H26*'Исходные данные'!H22)))</f>
        <v>0</v>
      </c>
      <c r="I27" s="34">
        <f ca="1">IF(I26&lt;=0,0,IF(I25&lt;=0,0,IF(H26&gt;0,I25*'Исходные данные'!I22,Налоги!I26*'Исходные данные'!I22)))</f>
        <v>0</v>
      </c>
      <c r="J27" s="34">
        <f ca="1">IF(J26&lt;=0,0,IF(J25&lt;=0,0,IF(I26&gt;0,J25*'Исходные данные'!J22,Налоги!J26*'Исходные данные'!J22)))</f>
        <v>0</v>
      </c>
      <c r="K27" s="34">
        <f ca="1">IF(K26&lt;=0,0,IF(K25&lt;=0,0,IF(J26&gt;0,K25*'Исходные данные'!K22,Налоги!K26*'Исходные данные'!K22)))</f>
        <v>158930.54255757679</v>
      </c>
      <c r="L27" s="34">
        <f ca="1">IF(L26&lt;=0,0,IF(L25&lt;=0,0,IF(K26&gt;0,L25*'Исходные данные'!L22,Налоги!L26*'Исходные данные'!L22)))</f>
        <v>313800.4770744149</v>
      </c>
      <c r="M27" s="34">
        <f ca="1">IF(M26&lt;=0,0,IF(M25&lt;=0,0,IF(L26&gt;0,M25*'Исходные данные'!M22,Налоги!M26*'Исходные данные'!M22)))</f>
        <v>421708.28540262487</v>
      </c>
      <c r="N27" s="34">
        <f ca="1">IF(N26&lt;=0,0,IF(N25&lt;=0,0,IF(M26&gt;0,N25*'Исходные данные'!N22,Налоги!N26*'Исходные данные'!N22)))</f>
        <v>374508.19726975355</v>
      </c>
      <c r="O27" s="34">
        <f ca="1">IF(O26&lt;=0,0,IF(O25&lt;=0,0,IF(N26&gt;0,O25*'Исходные данные'!O22,Налоги!O26*'Исходные данные'!O22)))</f>
        <v>295631.65038163459</v>
      </c>
      <c r="P27" s="34">
        <f ca="1">IF(P26&lt;=0,0,IF(P25&lt;=0,0,IF(O26&gt;0,P25*'Исходные данные'!P22,Налоги!P26*'Исходные данные'!P22)))</f>
        <v>280108.02100401075</v>
      </c>
      <c r="Q27" s="34">
        <f ca="1">IF(Q26&lt;=0,0,IF(Q25&lt;=0,0,IF(P26&gt;0,Q25*'Исходные данные'!Q22,Налоги!Q26*'Исходные данные'!Q22)))</f>
        <v>280422.62100401073</v>
      </c>
      <c r="R27" s="34">
        <f ca="1">IF(R26&lt;=0,0,IF(R25&lt;=0,0,IF(Q26&gt;0,R25*'Исходные данные'!R22,Налоги!R26*'Исходные данные'!R22)))</f>
        <v>264898.99162638694</v>
      </c>
      <c r="S27" s="34">
        <f ca="1">IF(S26&lt;=0,0,IF(S25&lt;=0,0,IF(R26&gt;0,S25*'Исходные данные'!S22,Налоги!S26*'Исходные данные'!S22)))</f>
        <v>265030.9959623543</v>
      </c>
      <c r="T27" s="34">
        <f ca="1">IF(T26&lt;=0,0,IF(T25&lt;=0,0,IF(S26&gt;0,T25*'Исходные данные'!T22,Налоги!T26*'Исходные данные'!T22)))</f>
        <v>249507.36658473243</v>
      </c>
      <c r="U27" s="34">
        <f ca="1">IF(U26&lt;=0,0,IF(U25&lt;=0,0,IF(T26&gt;0,U25*'Исходные данные'!U22,Налоги!U26*'Исходные данные'!U22)))</f>
        <v>249821.96658474926</v>
      </c>
      <c r="V27" s="34">
        <f ca="1">IF(V26&lt;=0,0,IF(V25&lt;=0,0,IF(U26&gt;0,V25*'Исходные данные'!V22,Налоги!V26*'Исходные данные'!V22)))</f>
        <v>250136.56658465584</v>
      </c>
      <c r="W27"/>
    </row>
    <row r="30" spans="1:23" x14ac:dyDescent="0.35">
      <c r="D30" s="1" t="s">
        <v>183</v>
      </c>
    </row>
    <row r="31" spans="1:23" x14ac:dyDescent="0.35">
      <c r="D31" t="s">
        <v>176</v>
      </c>
    </row>
    <row r="32" spans="1:23" x14ac:dyDescent="0.35">
      <c r="D32" t="s">
        <v>177</v>
      </c>
    </row>
    <row r="33" spans="4:4" x14ac:dyDescent="0.35">
      <c r="D33" t="s">
        <v>178</v>
      </c>
    </row>
    <row r="34" spans="4:4" x14ac:dyDescent="0.35">
      <c r="D34" t="s">
        <v>179</v>
      </c>
    </row>
    <row r="35" spans="4:4" x14ac:dyDescent="0.35">
      <c r="D35" t="s">
        <v>180</v>
      </c>
    </row>
    <row r="36" spans="4:4" x14ac:dyDescent="0.35">
      <c r="D36" t="s">
        <v>181</v>
      </c>
    </row>
    <row r="37" spans="4:4" x14ac:dyDescent="0.35">
      <c r="D37" t="s">
        <v>182</v>
      </c>
    </row>
  </sheetData>
  <pageMargins left="0.70866141732283472" right="0.70866141732283472" top="0.74803149606299213" bottom="0.74803149606299213" header="0.31496062992125984" footer="0.31496062992125984"/>
  <pageSetup paperSize="9" scale="51" fitToHeight="3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  <pageSetUpPr fitToPage="1"/>
  </sheetPr>
  <dimension ref="A1:Y33"/>
  <sheetViews>
    <sheetView topLeftCell="M19" zoomScaleNormal="100" workbookViewId="0">
      <selection activeCell="K32" sqref="K32:K33"/>
    </sheetView>
  </sheetViews>
  <sheetFormatPr defaultRowHeight="14.5" outlineLevelRow="1" x14ac:dyDescent="0.35"/>
  <cols>
    <col min="1" max="3" width="2.7265625" customWidth="1"/>
    <col min="4" max="4" width="41.1796875" bestFit="1" customWidth="1"/>
    <col min="6" max="7" width="2.81640625" customWidth="1"/>
    <col min="8" max="8" width="13.7265625" customWidth="1"/>
    <col min="9" max="9" width="11.54296875" customWidth="1"/>
    <col min="10" max="10" width="10.54296875" bestFit="1" customWidth="1"/>
    <col min="11" max="11" width="11.08984375" customWidth="1"/>
    <col min="12" max="12" width="11.36328125" customWidth="1"/>
    <col min="13" max="13" width="10.54296875" bestFit="1" customWidth="1"/>
    <col min="14" max="14" width="16.54296875" customWidth="1"/>
    <col min="15" max="15" width="12.26953125" customWidth="1"/>
    <col min="16" max="16" width="11.7265625" customWidth="1"/>
    <col min="17" max="17" width="11.90625" customWidth="1"/>
    <col min="18" max="18" width="11.7265625" customWidth="1"/>
    <col min="19" max="19" width="11.90625" customWidth="1"/>
    <col min="20" max="20" width="12.7265625" customWidth="1"/>
    <col min="21" max="21" width="11.54296875" customWidth="1"/>
    <col min="22" max="22" width="21.1796875" customWidth="1"/>
  </cols>
  <sheetData>
    <row r="1" spans="1:25" s="4" customFormat="1" ht="12.75" customHeight="1" x14ac:dyDescent="0.3">
      <c r="A1" s="3"/>
      <c r="B1" s="3" t="s">
        <v>0</v>
      </c>
      <c r="E1" s="3"/>
      <c r="G1" s="5"/>
    </row>
    <row r="2" spans="1:25" s="4" customFormat="1" ht="13" x14ac:dyDescent="0.3">
      <c r="D2" s="4" t="s">
        <v>29</v>
      </c>
      <c r="H2" s="6">
        <f t="shared" ref="H2:V2" si="0">период</f>
        <v>1</v>
      </c>
      <c r="I2" s="6">
        <f t="shared" si="0"/>
        <v>2</v>
      </c>
      <c r="J2" s="6">
        <f t="shared" si="0"/>
        <v>3</v>
      </c>
      <c r="K2" s="6">
        <f t="shared" si="0"/>
        <v>4</v>
      </c>
      <c r="L2" s="6">
        <f t="shared" si="0"/>
        <v>5</v>
      </c>
      <c r="M2" s="6">
        <f t="shared" si="0"/>
        <v>6</v>
      </c>
      <c r="N2" s="6">
        <f t="shared" si="0"/>
        <v>7</v>
      </c>
      <c r="O2" s="6">
        <f t="shared" si="0"/>
        <v>8</v>
      </c>
      <c r="P2" s="6">
        <f t="shared" si="0"/>
        <v>9</v>
      </c>
      <c r="Q2" s="6">
        <f t="shared" si="0"/>
        <v>10</v>
      </c>
      <c r="R2" s="6">
        <f t="shared" si="0"/>
        <v>11</v>
      </c>
      <c r="S2" s="6">
        <f t="shared" si="0"/>
        <v>12</v>
      </c>
      <c r="T2" s="6">
        <f t="shared" si="0"/>
        <v>13</v>
      </c>
      <c r="U2" s="6">
        <f t="shared" si="0"/>
        <v>14</v>
      </c>
      <c r="V2" s="6">
        <f t="shared" si="0"/>
        <v>15</v>
      </c>
      <c r="W2" s="6"/>
      <c r="X2" s="6"/>
      <c r="Y2" s="6"/>
    </row>
    <row r="3" spans="1:25" s="4" customFormat="1" ht="13" x14ac:dyDescent="0.3">
      <c r="D3" s="4" t="s">
        <v>19</v>
      </c>
      <c r="E3" s="7"/>
      <c r="G3" s="8"/>
      <c r="H3" s="14">
        <f t="shared" ref="H3:V3" si="1">период_знач</f>
        <v>2020</v>
      </c>
      <c r="I3" s="14">
        <f t="shared" si="1"/>
        <v>2021</v>
      </c>
      <c r="J3" s="14">
        <f t="shared" si="1"/>
        <v>2022</v>
      </c>
      <c r="K3" s="14">
        <f t="shared" si="1"/>
        <v>2023</v>
      </c>
      <c r="L3" s="14">
        <f t="shared" si="1"/>
        <v>2024</v>
      </c>
      <c r="M3" s="14">
        <f t="shared" si="1"/>
        <v>2025</v>
      </c>
      <c r="N3" s="14">
        <f t="shared" si="1"/>
        <v>2026</v>
      </c>
      <c r="O3" s="14">
        <f t="shared" si="1"/>
        <v>2027</v>
      </c>
      <c r="P3" s="14">
        <f t="shared" si="1"/>
        <v>2028</v>
      </c>
      <c r="Q3" s="14">
        <f t="shared" si="1"/>
        <v>2029</v>
      </c>
      <c r="R3" s="14">
        <f t="shared" si="1"/>
        <v>2030</v>
      </c>
      <c r="S3" s="14">
        <f t="shared" si="1"/>
        <v>2031</v>
      </c>
      <c r="T3" s="14">
        <f t="shared" si="1"/>
        <v>2032</v>
      </c>
      <c r="U3" s="14">
        <f t="shared" si="1"/>
        <v>2033</v>
      </c>
      <c r="V3" s="14">
        <f t="shared" si="1"/>
        <v>2034</v>
      </c>
      <c r="W3" s="9"/>
      <c r="X3" s="9"/>
      <c r="Y3" s="9"/>
    </row>
    <row r="5" spans="1:25" s="10" customFormat="1" ht="13" x14ac:dyDescent="0.3">
      <c r="A5" s="10">
        <v>1</v>
      </c>
      <c r="B5" s="10" t="s">
        <v>127</v>
      </c>
      <c r="E5" s="11"/>
      <c r="F5" s="11"/>
    </row>
    <row r="6" spans="1:25" s="1" customFormat="1" outlineLevel="1" x14ac:dyDescent="0.35">
      <c r="E6" s="2"/>
      <c r="H6"/>
    </row>
    <row r="7" spans="1:25" s="1" customFormat="1" outlineLevel="1" x14ac:dyDescent="0.35">
      <c r="D7" s="1" t="s">
        <v>130</v>
      </c>
      <c r="E7" s="2" t="s">
        <v>78</v>
      </c>
      <c r="F7" s="2"/>
      <c r="H7" s="15">
        <f>Выручка!H19+Выручка!H20</f>
        <v>0</v>
      </c>
      <c r="I7" s="15">
        <f>Выручка!I19+Выручка!I20</f>
        <v>0</v>
      </c>
      <c r="J7" s="15">
        <f>Выручка!J19+Выручка!J20</f>
        <v>1215346.4464139906</v>
      </c>
      <c r="K7" s="15">
        <f>Выручка!K19+Выручка!K20</f>
        <v>2344831.1090418035</v>
      </c>
      <c r="L7" s="15">
        <f>Выручка!L19+Выручка!L20</f>
        <v>2516554.6766141593</v>
      </c>
      <c r="M7" s="15">
        <f>Выручка!M19+Выручка!M20</f>
        <v>3025822.5022612265</v>
      </c>
      <c r="N7" s="15">
        <f>Выручка!N19+Выручка!N20</f>
        <v>2771188.5894376929</v>
      </c>
      <c r="O7" s="15">
        <f>Выручка!O19+Выручка!O20</f>
        <v>2346798.7347318036</v>
      </c>
      <c r="P7" s="15">
        <f>Выручка!P19+Выручка!P20</f>
        <v>2261920.7637906256</v>
      </c>
      <c r="Q7" s="15">
        <f>Выручка!Q19+Выручка!Q20</f>
        <v>2261920.7637906256</v>
      </c>
      <c r="R7" s="15">
        <f>Выручка!R19+Выручка!R20</f>
        <v>2177042.7928494476</v>
      </c>
      <c r="S7" s="15">
        <f>Выручка!S19+Выручка!S20</f>
        <v>2176058.9800044475</v>
      </c>
      <c r="T7" s="15">
        <f>Выручка!T19+Выручка!T20</f>
        <v>2091181.0090632699</v>
      </c>
      <c r="U7" s="15">
        <f>Выручка!U19+Выручка!U20</f>
        <v>2091181.0090632699</v>
      </c>
      <c r="V7" s="15">
        <f>Выручка!V19+Выручка!V20</f>
        <v>2091181.0090632699</v>
      </c>
      <c r="W7"/>
    </row>
    <row r="8" spans="1:25" s="1" customFormat="1" outlineLevel="1" x14ac:dyDescent="0.35">
      <c r="D8" s="1" t="s">
        <v>131</v>
      </c>
      <c r="E8" s="2" t="s">
        <v>78</v>
      </c>
      <c r="F8" s="2"/>
      <c r="H8" s="15">
        <f>-OPEX!H42</f>
        <v>-235500</v>
      </c>
      <c r="I8" s="15">
        <f>-OPEX!I42</f>
        <v>-267600</v>
      </c>
      <c r="J8" s="15">
        <f>-OPEX!J42</f>
        <v>-398482.42512489791</v>
      </c>
      <c r="K8" s="15">
        <f>-OPEX!K42</f>
        <v>-521863.81776329258</v>
      </c>
      <c r="L8" s="15">
        <f>-OPEX!L42</f>
        <v>-523065.88273629913</v>
      </c>
      <c r="M8" s="15">
        <f>-OPEX!M42</f>
        <v>-526630.75751582859</v>
      </c>
      <c r="N8" s="15">
        <f>-OPEX!N42</f>
        <v>-524848.32012606389</v>
      </c>
      <c r="O8" s="15">
        <f>-OPEX!O42</f>
        <v>-521877.59114312264</v>
      </c>
      <c r="P8" s="15">
        <f>-OPEX!P42</f>
        <v>-521283.44534653437</v>
      </c>
      <c r="Q8" s="15">
        <f>-OPEX!Q42</f>
        <v>-521283.44534653437</v>
      </c>
      <c r="R8" s="15">
        <f>-OPEX!R42</f>
        <v>-520689.2995499461</v>
      </c>
      <c r="S8" s="15">
        <f>-OPEX!S42</f>
        <v>-520682.41286003112</v>
      </c>
      <c r="T8" s="15">
        <f>-OPEX!T42</f>
        <v>-520088.26706344285</v>
      </c>
      <c r="U8" s="15">
        <f>-OPEX!U42</f>
        <v>-520088.26706344285</v>
      </c>
      <c r="V8" s="15">
        <f>-OPEX!V42</f>
        <v>-520088.26706344285</v>
      </c>
      <c r="W8"/>
    </row>
    <row r="9" spans="1:25" s="1" customFormat="1" outlineLevel="1" x14ac:dyDescent="0.35">
      <c r="D9" s="1" t="s">
        <v>132</v>
      </c>
      <c r="E9" s="2" t="s">
        <v>78</v>
      </c>
      <c r="F9" s="2"/>
      <c r="H9" s="15">
        <f>-(OPEX!H44+OPEX!H45+Налоги!H8+Налоги!H10+Налоги!H21)</f>
        <v>-21929</v>
      </c>
      <c r="I9" s="15">
        <f>-(OPEX!I44+OPEX!I45+Налоги!I8+Налоги!I10+Налоги!I21)</f>
        <v>-33811.75</v>
      </c>
      <c r="J9" s="15">
        <f>-(OPEX!J44+OPEX!J45+Налоги!J8+Налоги!J10+Налоги!J21)</f>
        <v>-165810.43605102692</v>
      </c>
      <c r="K9" s="15">
        <f>-(OPEX!K44+OPEX!K45+Налоги!K8+Налоги!K10+Налоги!K21)</f>
        <v>-280919.62101065821</v>
      </c>
      <c r="L9" s="15">
        <f>-(OPEX!L44+OPEX!L45+Налоги!L8+Налоги!L10+Налоги!L21)</f>
        <v>-290167.24819344957</v>
      </c>
      <c r="M9" s="15">
        <f>-(OPEX!M44+OPEX!M45+Налоги!M8+Налоги!M10+Налоги!M21)</f>
        <v>-319150.3177322736</v>
      </c>
      <c r="N9" s="15">
        <f>-(OPEX!N44+OPEX!N45+Налоги!N8+Налоги!N10+Налоги!N21)</f>
        <v>-302299.28296286159</v>
      </c>
      <c r="O9" s="15">
        <f>-(OPEX!O44+OPEX!O45+Налоги!O8+Налоги!O10+Налоги!O21)</f>
        <v>-275262.89168050821</v>
      </c>
      <c r="P9" s="15">
        <f>-(OPEX!P44+OPEX!P45+Налоги!P8+Налоги!P10+Налоги!P21)</f>
        <v>-268597.21342403756</v>
      </c>
      <c r="Q9" s="15">
        <f>-(OPEX!Q44+OPEX!Q45+Налоги!Q8+Налоги!Q10+Налоги!Q21)</f>
        <v>-267024.21342403756</v>
      </c>
      <c r="R9" s="15">
        <f>-(OPEX!R44+OPEX!R45+Налоги!R8+Налоги!R10+Налоги!R21)</f>
        <v>-260358.53516756685</v>
      </c>
      <c r="S9" s="15">
        <f>-(OPEX!S44+OPEX!S45+Налоги!S8+Налоги!S10+Налоги!S21)</f>
        <v>-258721.58733264185</v>
      </c>
      <c r="T9" s="15">
        <f>-(OPEX!T44+OPEX!T45+Налоги!T8+Налоги!T10+Налоги!T21)</f>
        <v>-252055.9090761712</v>
      </c>
      <c r="U9" s="15">
        <f>-(OPEX!U44+OPEX!U45+Налоги!U8+Налоги!U10+Налоги!U21)</f>
        <v>-250482.9090761712</v>
      </c>
      <c r="V9" s="15">
        <f>-(OPEX!V44+OPEX!V45+Налоги!V8+Налоги!V10+Налоги!V21)</f>
        <v>-248909.9090761712</v>
      </c>
      <c r="W9"/>
    </row>
    <row r="10" spans="1:25" s="1" customFormat="1" outlineLevel="1" x14ac:dyDescent="0.35">
      <c r="D10" s="32" t="s">
        <v>9</v>
      </c>
      <c r="E10" s="2" t="s">
        <v>78</v>
      </c>
      <c r="F10" s="2"/>
      <c r="H10" s="15">
        <f ca="1">-Налоги!H27</f>
        <v>0</v>
      </c>
      <c r="I10" s="15">
        <f ca="1">-Налоги!I27</f>
        <v>0</v>
      </c>
      <c r="J10" s="15">
        <f ca="1">-Налоги!J27</f>
        <v>0</v>
      </c>
      <c r="K10" s="15">
        <f ca="1">-Налоги!K27</f>
        <v>-158930.54255757679</v>
      </c>
      <c r="L10" s="15">
        <f ca="1">-Налоги!L27</f>
        <v>-313800.4770744149</v>
      </c>
      <c r="M10" s="15">
        <f ca="1">-Налоги!M27</f>
        <v>-421708.28540262487</v>
      </c>
      <c r="N10" s="15">
        <f ca="1">-Налоги!N27</f>
        <v>-374508.19726975355</v>
      </c>
      <c r="O10" s="15">
        <f ca="1">-Налоги!O27</f>
        <v>-295631.65038163459</v>
      </c>
      <c r="P10" s="15">
        <f ca="1">-Налоги!P27</f>
        <v>-280108.02100401075</v>
      </c>
      <c r="Q10" s="15">
        <f ca="1">-Налоги!Q27</f>
        <v>-280422.62100401073</v>
      </c>
      <c r="R10" s="15">
        <f ca="1">-Налоги!R27</f>
        <v>-264898.9916263874</v>
      </c>
      <c r="S10" s="15">
        <f ca="1">-Налоги!S27</f>
        <v>-265030.99596235307</v>
      </c>
      <c r="T10" s="15">
        <f ca="1">-Налоги!T27</f>
        <v>-249507.36658471441</v>
      </c>
      <c r="U10" s="15">
        <f ca="1">-Налоги!U27</f>
        <v>-249821.96658482461</v>
      </c>
      <c r="V10" s="15">
        <f ca="1">-Налоги!V27</f>
        <v>-250136.56658628752</v>
      </c>
      <c r="W10"/>
    </row>
    <row r="11" spans="1:25" s="1" customFormat="1" outlineLevel="1" x14ac:dyDescent="0.35">
      <c r="D11" s="1" t="s">
        <v>134</v>
      </c>
      <c r="E11" s="2" t="s">
        <v>78</v>
      </c>
      <c r="F11" s="2"/>
      <c r="H11" s="15">
        <f>-OPEX!H50</f>
        <v>0</v>
      </c>
      <c r="I11" s="15">
        <f>-OPEX!I50</f>
        <v>0</v>
      </c>
      <c r="J11" s="15">
        <f>-OPEX!J50</f>
        <v>-154148.67304496325</v>
      </c>
      <c r="K11" s="15">
        <f>-OPEX!K50</f>
        <v>-51662.301349822083</v>
      </c>
      <c r="L11" s="15">
        <f>-OPEX!L50</f>
        <v>-432.74339028235408</v>
      </c>
      <c r="M11" s="15">
        <f>-OPEX!M50</f>
        <v>-1283.3549206306052</v>
      </c>
      <c r="N11" s="15">
        <f>-OPEX!N50</f>
        <v>641.67746031528804</v>
      </c>
      <c r="O11" s="15">
        <f>-OPEX!O50</f>
        <v>1069.4624338588619</v>
      </c>
      <c r="P11" s="15">
        <f>-OPEX!P50</f>
        <v>213.89248677177238</v>
      </c>
      <c r="Q11" s="15">
        <f>-OPEX!Q50</f>
        <v>0</v>
      </c>
      <c r="R11" s="15">
        <f>-OPEX!R50</f>
        <v>213.89248677180149</v>
      </c>
      <c r="S11" s="15">
        <f>-OPEX!S50</f>
        <v>2.4792083693901077</v>
      </c>
      <c r="T11" s="15">
        <f>-OPEX!T50</f>
        <v>213.89248677177238</v>
      </c>
      <c r="U11" s="15">
        <f>-OPEX!U50</f>
        <v>0</v>
      </c>
      <c r="V11" s="15">
        <f>-OPEX!V50</f>
        <v>205171.7761428394</v>
      </c>
      <c r="W11"/>
    </row>
    <row r="12" spans="1:25" s="1" customFormat="1" outlineLevel="1" x14ac:dyDescent="0.35">
      <c r="E12" s="2"/>
      <c r="F12" s="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</row>
    <row r="13" spans="1:25" s="1" customFormat="1" outlineLevel="1" x14ac:dyDescent="0.35">
      <c r="D13" s="1" t="s">
        <v>133</v>
      </c>
      <c r="E13" s="2" t="s">
        <v>78</v>
      </c>
      <c r="F13" s="2"/>
      <c r="H13" s="15">
        <f ca="1">SUM(H7:H11)</f>
        <v>-257429</v>
      </c>
      <c r="I13" s="15">
        <f t="shared" ref="I13:V13" ca="1" si="2">SUM(I7:I11)</f>
        <v>-301411.75</v>
      </c>
      <c r="J13" s="15">
        <f t="shared" ca="1" si="2"/>
        <v>496904.91219310253</v>
      </c>
      <c r="K13" s="15">
        <f t="shared" ca="1" si="2"/>
        <v>1331454.8263604539</v>
      </c>
      <c r="L13" s="15">
        <f t="shared" ca="1" si="2"/>
        <v>1389088.3252197132</v>
      </c>
      <c r="M13" s="15">
        <f t="shared" ca="1" si="2"/>
        <v>1757049.7866898689</v>
      </c>
      <c r="N13" s="15">
        <f t="shared" ca="1" si="2"/>
        <v>1570174.4665393294</v>
      </c>
      <c r="O13" s="15">
        <f t="shared" ca="1" si="2"/>
        <v>1255096.0639603972</v>
      </c>
      <c r="P13" s="15">
        <f t="shared" ca="1" si="2"/>
        <v>1192145.9765028148</v>
      </c>
      <c r="Q13" s="15">
        <f t="shared" ca="1" si="2"/>
        <v>1193190.4840160429</v>
      </c>
      <c r="R13" s="15">
        <f t="shared" ca="1" si="2"/>
        <v>1131309.8589923189</v>
      </c>
      <c r="S13" s="15">
        <f t="shared" ca="1" si="2"/>
        <v>1131626.4630577904</v>
      </c>
      <c r="T13" s="15">
        <f t="shared" ca="1" si="2"/>
        <v>1069743.3588257132</v>
      </c>
      <c r="U13" s="15">
        <f t="shared" ca="1" si="2"/>
        <v>1070787.8663388314</v>
      </c>
      <c r="V13" s="15">
        <f t="shared" ca="1" si="2"/>
        <v>1277218.0424802077</v>
      </c>
      <c r="W13"/>
    </row>
    <row r="14" spans="1:25" ht="15" customHeight="1" x14ac:dyDescent="0.35"/>
    <row r="15" spans="1:25" s="10" customFormat="1" ht="13" x14ac:dyDescent="0.3">
      <c r="A15" s="10">
        <v>2</v>
      </c>
      <c r="B15" s="10" t="s">
        <v>128</v>
      </c>
      <c r="E15" s="11"/>
      <c r="F15" s="11"/>
    </row>
    <row r="16" spans="1:25" s="1" customFormat="1" outlineLevel="1" x14ac:dyDescent="0.35">
      <c r="E16" s="2"/>
      <c r="H16"/>
    </row>
    <row r="17" spans="1:23" s="1" customFormat="1" outlineLevel="1" x14ac:dyDescent="0.35">
      <c r="D17" s="1" t="s">
        <v>137</v>
      </c>
      <c r="E17" s="2" t="s">
        <v>78</v>
      </c>
      <c r="F17" s="2"/>
      <c r="H17" s="15">
        <f>-SUM(CAPEX!H12:H13,CAPEX!H16,CAPEX!H19:H20)</f>
        <v>-40000</v>
      </c>
      <c r="I17" s="15">
        <f>-SUM(CAPEX!I12:I13,CAPEX!I16,CAPEX!I19:I20)</f>
        <v>-1070000</v>
      </c>
      <c r="J17" s="15">
        <f>-SUM(CAPEX!J12:J13,CAPEX!J16,CAPEX!J19:J20)</f>
        <v>-275000</v>
      </c>
      <c r="K17" s="15">
        <f>-SUM(CAPEX!K12:K13,CAPEX!K16,CAPEX!K19:K20)</f>
        <v>-45000</v>
      </c>
      <c r="L17" s="15">
        <f>-SUM(CAPEX!L12:L13,CAPEX!L16,CAPEX!L19:L20)</f>
        <v>0</v>
      </c>
      <c r="M17" s="15">
        <f>-SUM(CAPEX!M12:M13,CAPEX!M16,CAPEX!M19:M20)</f>
        <v>0</v>
      </c>
      <c r="N17" s="15">
        <f>-SUM(CAPEX!N12:N13,CAPEX!N16,CAPEX!N19:N20)</f>
        <v>0</v>
      </c>
      <c r="O17" s="15">
        <f>-SUM(CAPEX!O12:O13,CAPEX!O16,CAPEX!O19:O20)</f>
        <v>0</v>
      </c>
      <c r="P17" s="15">
        <f>-SUM(CAPEX!P12:P13,CAPEX!P16,CAPEX!P19:P20)</f>
        <v>0</v>
      </c>
      <c r="Q17" s="15">
        <f>-SUM(CAPEX!Q12:Q13,CAPEX!Q16,CAPEX!Q19:Q20)</f>
        <v>0</v>
      </c>
      <c r="R17" s="15">
        <f>-SUM(CAPEX!R12:R13,CAPEX!R16,CAPEX!R19:R20)</f>
        <v>0</v>
      </c>
      <c r="S17" s="15">
        <f>-SUM(CAPEX!S12:S13,CAPEX!S16,CAPEX!S19:S20)</f>
        <v>0</v>
      </c>
      <c r="T17" s="15">
        <f>-SUM(CAPEX!T12:T13,CAPEX!T16,CAPEX!T19:T20)</f>
        <v>0</v>
      </c>
      <c r="U17" s="15">
        <f>-SUM(CAPEX!U12:U13,CAPEX!U16,CAPEX!U19:U20)</f>
        <v>0</v>
      </c>
      <c r="V17" s="15">
        <f>-SUM(CAPEX!V12:V13,CAPEX!V16,CAPEX!V19:V20)</f>
        <v>0</v>
      </c>
      <c r="W17"/>
    </row>
    <row r="18" spans="1:23" s="1" customFormat="1" outlineLevel="1" x14ac:dyDescent="0.35">
      <c r="D18" s="1" t="s">
        <v>138</v>
      </c>
      <c r="E18" s="2" t="s">
        <v>78</v>
      </c>
      <c r="F18" s="2"/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/>
    </row>
    <row r="19" spans="1:23" s="1" customFormat="1" outlineLevel="1" x14ac:dyDescent="0.35">
      <c r="E19" s="2"/>
      <c r="F19" s="2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</row>
    <row r="20" spans="1:23" s="1" customFormat="1" outlineLevel="1" x14ac:dyDescent="0.35">
      <c r="D20" s="1" t="s">
        <v>141</v>
      </c>
      <c r="E20" s="2" t="s">
        <v>78</v>
      </c>
      <c r="F20" s="2"/>
      <c r="H20" s="15">
        <f>SUM(H17:H18)</f>
        <v>-40000</v>
      </c>
      <c r="I20" s="15">
        <f t="shared" ref="I20:V20" si="3">SUM(I17:I18)</f>
        <v>-1070000</v>
      </c>
      <c r="J20" s="15">
        <f t="shared" si="3"/>
        <v>-275000</v>
      </c>
      <c r="K20" s="15">
        <f t="shared" si="3"/>
        <v>-45000</v>
      </c>
      <c r="L20" s="15">
        <f t="shared" si="3"/>
        <v>0</v>
      </c>
      <c r="M20" s="15">
        <f t="shared" si="3"/>
        <v>0</v>
      </c>
      <c r="N20" s="15">
        <f t="shared" si="3"/>
        <v>0</v>
      </c>
      <c r="O20" s="15">
        <f t="shared" si="3"/>
        <v>0</v>
      </c>
      <c r="P20" s="15">
        <f t="shared" si="3"/>
        <v>0</v>
      </c>
      <c r="Q20" s="15">
        <f t="shared" si="3"/>
        <v>0</v>
      </c>
      <c r="R20" s="15">
        <f t="shared" si="3"/>
        <v>0</v>
      </c>
      <c r="S20" s="15">
        <f t="shared" si="3"/>
        <v>0</v>
      </c>
      <c r="T20" s="15">
        <f t="shared" si="3"/>
        <v>0</v>
      </c>
      <c r="U20" s="15">
        <f t="shared" si="3"/>
        <v>0</v>
      </c>
      <c r="V20" s="15">
        <f t="shared" si="3"/>
        <v>0</v>
      </c>
      <c r="W20"/>
    </row>
    <row r="22" spans="1:23" s="10" customFormat="1" ht="13" x14ac:dyDescent="0.3">
      <c r="A22" s="10">
        <v>3</v>
      </c>
      <c r="B22" s="10" t="s">
        <v>129</v>
      </c>
      <c r="E22" s="11"/>
      <c r="F22" s="11"/>
    </row>
    <row r="23" spans="1:23" s="1" customFormat="1" outlineLevel="1" x14ac:dyDescent="0.35">
      <c r="E23" s="2"/>
      <c r="H23"/>
    </row>
    <row r="24" spans="1:23" s="1" customFormat="1" outlineLevel="1" x14ac:dyDescent="0.35">
      <c r="D24" s="1" t="s">
        <v>139</v>
      </c>
      <c r="E24" s="2" t="s">
        <v>78</v>
      </c>
      <c r="F24" s="2"/>
      <c r="H24" s="15">
        <f ca="1">Финансирование!H16+Финансирование!H22</f>
        <v>321544.86486486485</v>
      </c>
      <c r="I24" s="15">
        <f ca="1">Финансирование!I16+Финансирование!I22</f>
        <v>1534749.707815924</v>
      </c>
      <c r="J24" s="15">
        <f ca="1">Финансирование!J16+Финансирование!J22</f>
        <v>61123.539144881943</v>
      </c>
      <c r="K24" s="15">
        <f ca="1">Финансирование!K16+Финансирование!K22</f>
        <v>0</v>
      </c>
      <c r="L24" s="15">
        <f ca="1">Финансирование!L16+Финансирование!L22</f>
        <v>0</v>
      </c>
      <c r="M24" s="15">
        <f ca="1">Финансирование!M16+Финансирование!M22</f>
        <v>0</v>
      </c>
      <c r="N24" s="15">
        <f ca="1">Финансирование!N16+Финансирование!N22</f>
        <v>0</v>
      </c>
      <c r="O24" s="15">
        <f ca="1">Финансирование!O16+Финансирование!O22</f>
        <v>0</v>
      </c>
      <c r="P24" s="15">
        <f ca="1">Финансирование!P16+Финансирование!P22</f>
        <v>0</v>
      </c>
      <c r="Q24" s="15">
        <f ca="1">Финансирование!Q16+Финансирование!Q22</f>
        <v>0</v>
      </c>
      <c r="R24" s="15">
        <f ca="1">Финансирование!R16+Финансирование!R22</f>
        <v>0</v>
      </c>
      <c r="S24" s="15">
        <f ca="1">Финансирование!S16+Финансирование!S22</f>
        <v>0</v>
      </c>
      <c r="T24" s="15">
        <f ca="1">Финансирование!T16+Финансирование!T22</f>
        <v>0</v>
      </c>
      <c r="U24" s="15">
        <f ca="1">Финансирование!U16+Финансирование!U22</f>
        <v>0</v>
      </c>
      <c r="V24" s="15">
        <f ca="1">Финансирование!V16+Финансирование!V22</f>
        <v>0</v>
      </c>
      <c r="W24"/>
    </row>
    <row r="25" spans="1:23" s="32" customFormat="1" outlineLevel="1" x14ac:dyDescent="0.35">
      <c r="D25" s="32" t="s">
        <v>140</v>
      </c>
      <c r="E25" s="35" t="s">
        <v>78</v>
      </c>
      <c r="F25" s="35"/>
      <c r="H25" s="15">
        <f ca="1">Финансирование!H25</f>
        <v>-24115.864864864863</v>
      </c>
      <c r="I25" s="15">
        <f ca="1">Финансирование!I25</f>
        <v>-163337.95781592402</v>
      </c>
      <c r="J25" s="15">
        <f ca="1">Финансирование!J25</f>
        <v>-283028.45133798447</v>
      </c>
      <c r="K25" s="15">
        <f ca="1">Финансирование!K25</f>
        <v>-206625.51869926116</v>
      </c>
      <c r="L25" s="15">
        <f ca="1">Финансирование!L25</f>
        <v>-62819.160312335851</v>
      </c>
      <c r="M25" s="15">
        <f ca="1">Финансирование!M25</f>
        <v>0</v>
      </c>
      <c r="N25" s="15">
        <f ca="1">Финансирование!N25</f>
        <v>0</v>
      </c>
      <c r="O25" s="15">
        <f ca="1">Финансирование!O25</f>
        <v>0</v>
      </c>
      <c r="P25" s="15">
        <f ca="1">Финансирование!P25</f>
        <v>0</v>
      </c>
      <c r="Q25" s="15">
        <f ca="1">Финансирование!Q25</f>
        <v>0</v>
      </c>
      <c r="R25" s="15">
        <f ca="1">Финансирование!R25</f>
        <v>-1.0477378964424132E-10</v>
      </c>
      <c r="S25" s="15">
        <f ca="1">Финансирование!S25</f>
        <v>-2.7765054255723951E-9</v>
      </c>
      <c r="T25" s="15">
        <f ca="1">Финансирование!T25</f>
        <v>6.30388967692852E-9</v>
      </c>
      <c r="U25" s="15">
        <f ca="1">Финансирование!U25</f>
        <v>9.0227695181965823E-8</v>
      </c>
      <c r="V25" s="15">
        <f ca="1">Финансирование!V25</f>
        <v>-3.7674908526241779E-7</v>
      </c>
      <c r="W25" s="36"/>
    </row>
    <row r="26" spans="1:23" s="1" customFormat="1" outlineLevel="1" x14ac:dyDescent="0.35">
      <c r="D26" s="1" t="s">
        <v>157</v>
      </c>
      <c r="E26" s="2" t="s">
        <v>78</v>
      </c>
      <c r="F26" s="2"/>
      <c r="H26" s="15">
        <f ca="1">-Финансирование!H18-Финансирование!H24</f>
        <v>0</v>
      </c>
      <c r="I26" s="15">
        <f ca="1">-Финансирование!I18-Финансирование!I24</f>
        <v>0</v>
      </c>
      <c r="J26" s="15">
        <f ca="1">-Финансирование!J18-Финансирование!J24</f>
        <v>0</v>
      </c>
      <c r="K26" s="15">
        <f ca="1">-Финансирование!K18-Финансирование!K24</f>
        <v>-1079829.3076611927</v>
      </c>
      <c r="L26" s="15">
        <f ca="1">-Финансирование!L18-Финансирование!L24</f>
        <v>-837588.80416447809</v>
      </c>
      <c r="M26" s="15">
        <f ca="1">-Финансирование!M18-Финансирование!M24</f>
        <v>0</v>
      </c>
      <c r="N26" s="15">
        <f ca="1">-Финансирование!N18-Финансирование!N24</f>
        <v>0</v>
      </c>
      <c r="O26" s="15">
        <f ca="1">-Финансирование!O18-Финансирование!O24</f>
        <v>0</v>
      </c>
      <c r="P26" s="15">
        <f ca="1">-Финансирование!P18-Финансирование!P24</f>
        <v>0</v>
      </c>
      <c r="Q26" s="15">
        <f ca="1">-Финансирование!Q18-Финансирование!Q24</f>
        <v>0</v>
      </c>
      <c r="R26" s="15">
        <f ca="1">-Финансирование!R18-Финансирование!R24</f>
        <v>-1.3969838619232178E-9</v>
      </c>
      <c r="S26" s="15">
        <f ca="1">-Финансирование!S18-Финансирование!S24</f>
        <v>-3.7020072340965271E-8</v>
      </c>
      <c r="T26" s="15">
        <f ca="1">-Финансирование!T18-Финансирование!T24</f>
        <v>8.4051862359046936E-8</v>
      </c>
      <c r="U26" s="15">
        <f ca="1">-Финансирование!U18-Финансирование!U24</f>
        <v>1.2030359357595444E-6</v>
      </c>
      <c r="V26" s="15">
        <f ca="1">-Финансирование!V18-Финансирование!V24</f>
        <v>-5.0233211368322372E-6</v>
      </c>
      <c r="W26"/>
    </row>
    <row r="27" spans="1:23" s="1" customFormat="1" outlineLevel="1" x14ac:dyDescent="0.35">
      <c r="E27" s="2"/>
      <c r="F27" s="2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</row>
    <row r="28" spans="1:23" s="1" customFormat="1" outlineLevel="1" x14ac:dyDescent="0.35">
      <c r="D28" s="1" t="s">
        <v>142</v>
      </c>
      <c r="E28" s="2" t="s">
        <v>78</v>
      </c>
      <c r="F28" s="2"/>
      <c r="H28" s="15">
        <f ca="1">SUM(H24:H26)</f>
        <v>297429</v>
      </c>
      <c r="I28" s="15">
        <f t="shared" ref="I28:V28" ca="1" si="4">SUM(I24:I26)</f>
        <v>1371411.75</v>
      </c>
      <c r="J28" s="15">
        <f t="shared" ca="1" si="4"/>
        <v>-221904.91219310253</v>
      </c>
      <c r="K28" s="15">
        <f t="shared" ca="1" si="4"/>
        <v>-1286454.8263604539</v>
      </c>
      <c r="L28" s="15">
        <f t="shared" ca="1" si="4"/>
        <v>-900407.96447681391</v>
      </c>
      <c r="M28" s="15">
        <f t="shared" ca="1" si="4"/>
        <v>0</v>
      </c>
      <c r="N28" s="15">
        <f t="shared" ca="1" si="4"/>
        <v>0</v>
      </c>
      <c r="O28" s="15">
        <f t="shared" ca="1" si="4"/>
        <v>0</v>
      </c>
      <c r="P28" s="15">
        <f t="shared" ca="1" si="4"/>
        <v>0</v>
      </c>
      <c r="Q28" s="15">
        <f t="shared" ca="1" si="4"/>
        <v>0</v>
      </c>
      <c r="R28" s="15">
        <f t="shared" ca="1" si="4"/>
        <v>-1.5017576515674591E-9</v>
      </c>
      <c r="S28" s="15">
        <f t="shared" ca="1" si="4"/>
        <v>-3.9796577766537669E-8</v>
      </c>
      <c r="T28" s="15">
        <f t="shared" ca="1" si="4"/>
        <v>9.0355752035975454E-8</v>
      </c>
      <c r="U28" s="15">
        <f t="shared" ca="1" si="4"/>
        <v>1.2932636309415101E-6</v>
      </c>
      <c r="V28" s="15">
        <f t="shared" ca="1" si="4"/>
        <v>-5.400070222094655E-6</v>
      </c>
      <c r="W28"/>
    </row>
    <row r="30" spans="1:23" s="10" customFormat="1" ht="13" x14ac:dyDescent="0.3">
      <c r="A30" s="10">
        <v>4</v>
      </c>
      <c r="B30" s="10" t="s">
        <v>145</v>
      </c>
      <c r="E30" s="11"/>
      <c r="F30" s="11"/>
    </row>
    <row r="31" spans="1:23" outlineLevel="1" x14ac:dyDescent="0.35"/>
    <row r="32" spans="1:23" s="1" customFormat="1" outlineLevel="1" x14ac:dyDescent="0.35">
      <c r="D32" s="1" t="s">
        <v>144</v>
      </c>
      <c r="E32" s="2" t="s">
        <v>78</v>
      </c>
      <c r="F32" s="2"/>
      <c r="H32" s="15">
        <f ca="1">H13+H20+H28</f>
        <v>0</v>
      </c>
      <c r="I32" s="15">
        <f t="shared" ref="I32:V32" ca="1" si="5">I13+I20+I28</f>
        <v>0</v>
      </c>
      <c r="J32" s="15">
        <f t="shared" ca="1" si="5"/>
        <v>0</v>
      </c>
      <c r="K32" s="15">
        <f t="shared" ca="1" si="5"/>
        <v>0</v>
      </c>
      <c r="L32" s="15">
        <f t="shared" ca="1" si="5"/>
        <v>488680.36074289924</v>
      </c>
      <c r="M32" s="15">
        <f t="shared" ca="1" si="5"/>
        <v>1757049.7866898689</v>
      </c>
      <c r="N32" s="15">
        <f t="shared" ca="1" si="5"/>
        <v>1570174.4665393294</v>
      </c>
      <c r="O32" s="15">
        <f t="shared" ca="1" si="5"/>
        <v>1255096.0639603972</v>
      </c>
      <c r="P32" s="15">
        <f t="shared" ca="1" si="5"/>
        <v>1192145.9765028148</v>
      </c>
      <c r="Q32" s="15">
        <f t="shared" ca="1" si="5"/>
        <v>1193190.4840160429</v>
      </c>
      <c r="R32" s="15">
        <f t="shared" ca="1" si="5"/>
        <v>1131309.8589923175</v>
      </c>
      <c r="S32" s="15">
        <f t="shared" ca="1" si="5"/>
        <v>1131626.4630577506</v>
      </c>
      <c r="T32" s="15">
        <f t="shared" ca="1" si="5"/>
        <v>1069743.3588258035</v>
      </c>
      <c r="U32" s="15">
        <f t="shared" ca="1" si="5"/>
        <v>1070787.8663401247</v>
      </c>
      <c r="V32" s="15">
        <f t="shared" ca="1" si="5"/>
        <v>1277218.0424748077</v>
      </c>
      <c r="W32"/>
    </row>
    <row r="33" spans="4:23" s="1" customFormat="1" outlineLevel="1" x14ac:dyDescent="0.35">
      <c r="D33" s="1" t="s">
        <v>146</v>
      </c>
      <c r="E33" s="2" t="s">
        <v>78</v>
      </c>
      <c r="F33" s="2"/>
      <c r="H33" s="15">
        <f ca="1">H32</f>
        <v>0</v>
      </c>
      <c r="I33" s="15">
        <f ca="1">H33+I32</f>
        <v>0</v>
      </c>
      <c r="J33" s="15">
        <f t="shared" ref="J33:V33" ca="1" si="6">I33+J32</f>
        <v>0</v>
      </c>
      <c r="K33" s="15">
        <f t="shared" ca="1" si="6"/>
        <v>0</v>
      </c>
      <c r="L33" s="15">
        <f t="shared" ca="1" si="6"/>
        <v>488680.36074289924</v>
      </c>
      <c r="M33" s="15">
        <f t="shared" ca="1" si="6"/>
        <v>2245730.1474327683</v>
      </c>
      <c r="N33" s="15">
        <f t="shared" ca="1" si="6"/>
        <v>3815904.6139720976</v>
      </c>
      <c r="O33" s="15">
        <f t="shared" ca="1" si="6"/>
        <v>5071000.6779324953</v>
      </c>
      <c r="P33" s="15">
        <f t="shared" ca="1" si="6"/>
        <v>6263146.6544353105</v>
      </c>
      <c r="Q33" s="15">
        <f t="shared" ca="1" si="6"/>
        <v>7456337.1384513536</v>
      </c>
      <c r="R33" s="15">
        <f t="shared" ca="1" si="6"/>
        <v>8587646.9974436704</v>
      </c>
      <c r="S33" s="15">
        <f t="shared" ca="1" si="6"/>
        <v>9719273.4605014212</v>
      </c>
      <c r="T33" s="15">
        <f t="shared" ca="1" si="6"/>
        <v>10789016.819327224</v>
      </c>
      <c r="U33" s="15">
        <f t="shared" ca="1" si="6"/>
        <v>11859804.685667349</v>
      </c>
      <c r="V33" s="15">
        <f t="shared" ca="1" si="6"/>
        <v>13137022.728142157</v>
      </c>
      <c r="W33"/>
    </row>
  </sheetData>
  <pageMargins left="0.70866141732283472" right="0.70866141732283472" top="0.74803149606299213" bottom="0.74803149606299213" header="0.31496062992125984" footer="0.31496062992125984"/>
  <pageSetup paperSize="9" scale="53" fitToHeight="3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  <pageSetUpPr fitToPage="1"/>
  </sheetPr>
  <dimension ref="A1:Y31"/>
  <sheetViews>
    <sheetView topLeftCell="A13" workbookViewId="0">
      <selection activeCell="E18" sqref="E18"/>
    </sheetView>
  </sheetViews>
  <sheetFormatPr defaultRowHeight="14.5" outlineLevelRow="1" x14ac:dyDescent="0.35"/>
  <cols>
    <col min="1" max="3" width="2.7265625" customWidth="1"/>
    <col min="4" max="4" width="38.453125" bestFit="1" customWidth="1"/>
    <col min="6" max="7" width="2.81640625" customWidth="1"/>
    <col min="8" max="9" width="17.7265625" customWidth="1"/>
    <col min="10" max="10" width="12.6328125" customWidth="1"/>
    <col min="11" max="11" width="11.81640625" customWidth="1"/>
    <col min="12" max="12" width="12.1796875" customWidth="1"/>
    <col min="13" max="13" width="11.453125" customWidth="1"/>
    <col min="14" max="14" width="11.36328125" customWidth="1"/>
    <col min="15" max="15" width="12.81640625" customWidth="1"/>
    <col min="16" max="22" width="10" bestFit="1" customWidth="1"/>
  </cols>
  <sheetData>
    <row r="1" spans="1:25" s="4" customFormat="1" ht="12.75" customHeight="1" x14ac:dyDescent="0.3">
      <c r="A1" s="3"/>
      <c r="B1" s="3" t="s">
        <v>0</v>
      </c>
      <c r="E1" s="3"/>
      <c r="G1" s="5"/>
    </row>
    <row r="2" spans="1:25" s="4" customFormat="1" ht="13" x14ac:dyDescent="0.3">
      <c r="D2" s="4" t="s">
        <v>29</v>
      </c>
      <c r="H2" s="6">
        <f t="shared" ref="H2:V2" si="0">период</f>
        <v>1</v>
      </c>
      <c r="I2" s="6">
        <f t="shared" si="0"/>
        <v>2</v>
      </c>
      <c r="J2" s="6">
        <f t="shared" si="0"/>
        <v>3</v>
      </c>
      <c r="K2" s="6">
        <f t="shared" si="0"/>
        <v>4</v>
      </c>
      <c r="L2" s="6">
        <f t="shared" si="0"/>
        <v>5</v>
      </c>
      <c r="M2" s="6">
        <f t="shared" si="0"/>
        <v>6</v>
      </c>
      <c r="N2" s="6">
        <f t="shared" si="0"/>
        <v>7</v>
      </c>
      <c r="O2" s="6">
        <f t="shared" si="0"/>
        <v>8</v>
      </c>
      <c r="P2" s="6">
        <f t="shared" si="0"/>
        <v>9</v>
      </c>
      <c r="Q2" s="6">
        <f t="shared" si="0"/>
        <v>10</v>
      </c>
      <c r="R2" s="6">
        <f t="shared" si="0"/>
        <v>11</v>
      </c>
      <c r="S2" s="6">
        <f t="shared" si="0"/>
        <v>12</v>
      </c>
      <c r="T2" s="6">
        <f t="shared" si="0"/>
        <v>13</v>
      </c>
      <c r="U2" s="6">
        <f t="shared" si="0"/>
        <v>14</v>
      </c>
      <c r="V2" s="6">
        <f t="shared" si="0"/>
        <v>15</v>
      </c>
      <c r="W2" s="6"/>
      <c r="X2" s="6"/>
      <c r="Y2" s="6"/>
    </row>
    <row r="3" spans="1:25" s="4" customFormat="1" ht="13" x14ac:dyDescent="0.3">
      <c r="D3" s="4" t="s">
        <v>19</v>
      </c>
      <c r="E3" s="7"/>
      <c r="G3" s="8"/>
      <c r="H3" s="14">
        <f t="shared" ref="H3:V3" si="1">период_календ</f>
        <v>2020</v>
      </c>
      <c r="I3" s="14">
        <f t="shared" si="1"/>
        <v>2021</v>
      </c>
      <c r="J3" s="14">
        <f t="shared" si="1"/>
        <v>2022</v>
      </c>
      <c r="K3" s="14">
        <f t="shared" si="1"/>
        <v>2023</v>
      </c>
      <c r="L3" s="14">
        <f t="shared" si="1"/>
        <v>2024</v>
      </c>
      <c r="M3" s="14">
        <f t="shared" si="1"/>
        <v>2025</v>
      </c>
      <c r="N3" s="14">
        <f t="shared" si="1"/>
        <v>2026</v>
      </c>
      <c r="O3" s="14">
        <f t="shared" si="1"/>
        <v>2027</v>
      </c>
      <c r="P3" s="14">
        <f t="shared" si="1"/>
        <v>2028</v>
      </c>
      <c r="Q3" s="14">
        <f t="shared" si="1"/>
        <v>2029</v>
      </c>
      <c r="R3" s="14">
        <f t="shared" si="1"/>
        <v>2030</v>
      </c>
      <c r="S3" s="14" t="e">
        <f t="shared" si="1"/>
        <v>#VALUE!</v>
      </c>
      <c r="T3" s="14" t="e">
        <f t="shared" si="1"/>
        <v>#VALUE!</v>
      </c>
      <c r="U3" s="14" t="e">
        <f t="shared" si="1"/>
        <v>#VALUE!</v>
      </c>
      <c r="V3" s="14" t="e">
        <f t="shared" si="1"/>
        <v>#VALUE!</v>
      </c>
      <c r="W3" s="9"/>
      <c r="X3" s="9"/>
      <c r="Y3" s="9"/>
    </row>
    <row r="5" spans="1:25" s="10" customFormat="1" ht="13" x14ac:dyDescent="0.3">
      <c r="A5" s="10">
        <v>1</v>
      </c>
      <c r="B5" s="10" t="s">
        <v>77</v>
      </c>
      <c r="E5" s="11"/>
      <c r="F5" s="11"/>
    </row>
    <row r="6" spans="1:25" s="1" customFormat="1" outlineLevel="1" x14ac:dyDescent="0.35">
      <c r="E6" s="2"/>
      <c r="H6"/>
    </row>
    <row r="7" spans="1:25" s="1" customFormat="1" outlineLevel="1" x14ac:dyDescent="0.35">
      <c r="D7" s="1" t="s">
        <v>22</v>
      </c>
      <c r="E7" s="2" t="s">
        <v>2</v>
      </c>
      <c r="F7" s="2"/>
      <c r="H7" s="21">
        <f>'Исходные данные'!H74</f>
        <v>0.15</v>
      </c>
      <c r="I7" s="21">
        <f>'Исходные данные'!I74</f>
        <v>0.15</v>
      </c>
      <c r="J7" s="21">
        <f>'Исходные данные'!J74</f>
        <v>0.15</v>
      </c>
      <c r="K7" s="21">
        <f>'Исходные данные'!K74</f>
        <v>0.15</v>
      </c>
      <c r="L7" s="21">
        <f>'Исходные данные'!L74</f>
        <v>0.15</v>
      </c>
      <c r="M7" s="21">
        <f>'Исходные данные'!M74</f>
        <v>0.15</v>
      </c>
      <c r="N7" s="21">
        <f>'Исходные данные'!N74</f>
        <v>0.15</v>
      </c>
      <c r="O7" s="21">
        <f>'Исходные данные'!O74</f>
        <v>0.15</v>
      </c>
      <c r="P7" s="21">
        <f>'Исходные данные'!P74</f>
        <v>0.15</v>
      </c>
      <c r="Q7" s="21">
        <f>'Исходные данные'!Q74</f>
        <v>0.15</v>
      </c>
      <c r="R7" s="21">
        <f>'Исходные данные'!R74</f>
        <v>0.15</v>
      </c>
      <c r="S7" s="21">
        <f>'Исходные данные'!S74</f>
        <v>0.15</v>
      </c>
      <c r="T7" s="21">
        <f>'Исходные данные'!T74</f>
        <v>0.15</v>
      </c>
      <c r="U7" s="21">
        <f>'Исходные данные'!U74</f>
        <v>0.15</v>
      </c>
      <c r="V7" s="21">
        <f>'Исходные данные'!V74</f>
        <v>0.15</v>
      </c>
      <c r="W7"/>
    </row>
    <row r="8" spans="1:25" s="1" customFormat="1" outlineLevel="1" x14ac:dyDescent="0.35">
      <c r="D8" s="1" t="s">
        <v>147</v>
      </c>
      <c r="E8" s="2" t="s">
        <v>2</v>
      </c>
      <c r="F8" s="2"/>
      <c r="H8" s="21">
        <f>'Исходные данные'!H75</f>
        <v>0</v>
      </c>
      <c r="I8" s="21">
        <f>'Исходные данные'!I75</f>
        <v>0</v>
      </c>
      <c r="J8" s="21">
        <f>'Исходные данные'!J75</f>
        <v>0</v>
      </c>
      <c r="K8" s="21">
        <f>'Исходные данные'!K75</f>
        <v>0</v>
      </c>
      <c r="L8" s="21">
        <f>'Исходные данные'!L75</f>
        <v>0</v>
      </c>
      <c r="M8" s="21">
        <f>'Исходные данные'!M75</f>
        <v>0</v>
      </c>
      <c r="N8" s="21">
        <f>'Исходные данные'!N75</f>
        <v>0</v>
      </c>
      <c r="O8" s="21">
        <f>'Исходные данные'!O75</f>
        <v>0</v>
      </c>
      <c r="P8" s="21">
        <f>'Исходные данные'!P75</f>
        <v>0</v>
      </c>
      <c r="Q8" s="21">
        <f>'Исходные данные'!Q75</f>
        <v>0</v>
      </c>
      <c r="R8" s="21">
        <f>'Исходные данные'!R75</f>
        <v>0</v>
      </c>
      <c r="S8" s="21">
        <f>'Исходные данные'!S75</f>
        <v>0</v>
      </c>
      <c r="T8" s="21">
        <f>'Исходные данные'!T75</f>
        <v>0</v>
      </c>
      <c r="U8" s="21">
        <f>'Исходные данные'!U75</f>
        <v>0</v>
      </c>
      <c r="V8" s="21">
        <f>'Исходные данные'!V75</f>
        <v>0</v>
      </c>
      <c r="W8"/>
    </row>
    <row r="9" spans="1:25" s="1" customFormat="1" outlineLevel="1" x14ac:dyDescent="0.35">
      <c r="D9" s="1" t="s">
        <v>127</v>
      </c>
      <c r="E9" s="2" t="s">
        <v>78</v>
      </c>
      <c r="F9" s="2"/>
      <c r="H9" s="15">
        <f ca="1">'Cash Flow'!H13</f>
        <v>-257429</v>
      </c>
      <c r="I9" s="15">
        <f ca="1">'Cash Flow'!I13</f>
        <v>-301411.75</v>
      </c>
      <c r="J9" s="15">
        <f ca="1">'Cash Flow'!J13</f>
        <v>496904.91219310253</v>
      </c>
      <c r="K9" s="15">
        <f ca="1">'Cash Flow'!K13</f>
        <v>1331454.8263604539</v>
      </c>
      <c r="L9" s="15">
        <f ca="1">'Cash Flow'!L13</f>
        <v>1389088.3252197132</v>
      </c>
      <c r="M9" s="15">
        <f ca="1">'Cash Flow'!M13</f>
        <v>1757049.7866898689</v>
      </c>
      <c r="N9" s="15">
        <f ca="1">'Cash Flow'!N13</f>
        <v>1570174.4665393294</v>
      </c>
      <c r="O9" s="15">
        <f ca="1">'Cash Flow'!O13</f>
        <v>1255096.0639603972</v>
      </c>
      <c r="P9" s="15">
        <f ca="1">'Cash Flow'!P13</f>
        <v>1192145.9765028148</v>
      </c>
      <c r="Q9" s="15">
        <f ca="1">'Cash Flow'!Q13</f>
        <v>1193190.4840160429</v>
      </c>
      <c r="R9" s="15">
        <f ca="1">'Cash Flow'!R13</f>
        <v>1131309.8589923189</v>
      </c>
      <c r="S9" s="15">
        <f ca="1">'Cash Flow'!S13</f>
        <v>1131626.4630577904</v>
      </c>
      <c r="T9" s="15">
        <f ca="1">'Cash Flow'!T13</f>
        <v>1069743.3588257132</v>
      </c>
      <c r="U9" s="15">
        <f ca="1">'Cash Flow'!U13</f>
        <v>1070787.8663388314</v>
      </c>
      <c r="V9" s="15">
        <f ca="1">'Cash Flow'!V13</f>
        <v>1277218.0424802077</v>
      </c>
      <c r="W9"/>
    </row>
    <row r="10" spans="1:25" s="1" customFormat="1" outlineLevel="1" x14ac:dyDescent="0.35">
      <c r="D10" s="1" t="s">
        <v>128</v>
      </c>
      <c r="E10" s="2" t="s">
        <v>78</v>
      </c>
      <c r="F10" s="2"/>
      <c r="H10" s="15">
        <f>'Cash Flow'!H20</f>
        <v>-40000</v>
      </c>
      <c r="I10" s="15">
        <f>'Cash Flow'!I20</f>
        <v>-1070000</v>
      </c>
      <c r="J10" s="15">
        <f>'Cash Flow'!J20</f>
        <v>-275000</v>
      </c>
      <c r="K10" s="15">
        <f>'Cash Flow'!K20</f>
        <v>-45000</v>
      </c>
      <c r="L10" s="15">
        <f>'Cash Flow'!L20</f>
        <v>0</v>
      </c>
      <c r="M10" s="15">
        <f>'Cash Flow'!M20</f>
        <v>0</v>
      </c>
      <c r="N10" s="15">
        <f>'Cash Flow'!N20</f>
        <v>0</v>
      </c>
      <c r="O10" s="15">
        <f>'Cash Flow'!O20</f>
        <v>0</v>
      </c>
      <c r="P10" s="15">
        <f>'Cash Flow'!P20</f>
        <v>0</v>
      </c>
      <c r="Q10" s="15">
        <f>'Cash Flow'!Q20</f>
        <v>0</v>
      </c>
      <c r="R10" s="15">
        <f>'Cash Flow'!R20</f>
        <v>0</v>
      </c>
      <c r="S10" s="15">
        <f>'Cash Flow'!S20</f>
        <v>0</v>
      </c>
      <c r="T10" s="15">
        <f>'Cash Flow'!T20</f>
        <v>0</v>
      </c>
      <c r="U10" s="15">
        <f>'Cash Flow'!U20</f>
        <v>0</v>
      </c>
      <c r="V10" s="15">
        <f>'Cash Flow'!V20</f>
        <v>0</v>
      </c>
      <c r="W10"/>
    </row>
    <row r="11" spans="1:25" s="1" customFormat="1" outlineLevel="1" x14ac:dyDescent="0.35">
      <c r="D11" s="1" t="s">
        <v>148</v>
      </c>
      <c r="E11" s="2" t="s">
        <v>78</v>
      </c>
      <c r="F11" s="2"/>
      <c r="G11" s="32"/>
      <c r="H11" s="15">
        <f ca="1">'Cash Flow'!H25</f>
        <v>-24115.864864864863</v>
      </c>
      <c r="I11" s="15">
        <f ca="1">'Cash Flow'!I25</f>
        <v>-163337.95781592402</v>
      </c>
      <c r="J11" s="15">
        <f ca="1">'Cash Flow'!J25</f>
        <v>-283028.45133798447</v>
      </c>
      <c r="K11" s="15">
        <f ca="1">'Cash Flow'!K25</f>
        <v>-206625.51869926116</v>
      </c>
      <c r="L11" s="15">
        <f ca="1">'Cash Flow'!L25</f>
        <v>-62819.160312335851</v>
      </c>
      <c r="M11" s="15">
        <f ca="1">'Cash Flow'!M25</f>
        <v>0</v>
      </c>
      <c r="N11" s="15">
        <f ca="1">'Cash Flow'!N25</f>
        <v>0</v>
      </c>
      <c r="O11" s="15">
        <f ca="1">'Cash Flow'!O25</f>
        <v>0</v>
      </c>
      <c r="P11" s="15">
        <f ca="1">'Cash Flow'!P25</f>
        <v>0</v>
      </c>
      <c r="Q11" s="15">
        <f ca="1">'Cash Flow'!Q25</f>
        <v>0</v>
      </c>
      <c r="R11" s="15">
        <f ca="1">'Cash Flow'!R25</f>
        <v>-1.0477378964424132E-10</v>
      </c>
      <c r="S11" s="15">
        <f ca="1">'Cash Flow'!S25</f>
        <v>-2.7765054255723951E-9</v>
      </c>
      <c r="T11" s="15">
        <f ca="1">'Cash Flow'!T25</f>
        <v>6.30388967692852E-9</v>
      </c>
      <c r="U11" s="15">
        <f ca="1">'Cash Flow'!U25</f>
        <v>9.0227695181965823E-8</v>
      </c>
      <c r="V11" s="15">
        <f ca="1">'Cash Flow'!V25</f>
        <v>-3.7674908526241779E-7</v>
      </c>
      <c r="W11"/>
    </row>
    <row r="12" spans="1:25" s="1" customFormat="1" outlineLevel="1" x14ac:dyDescent="0.35">
      <c r="D12" s="1" t="s">
        <v>149</v>
      </c>
      <c r="E12" s="2" t="s">
        <v>78</v>
      </c>
      <c r="F12" s="2"/>
      <c r="H12" s="15">
        <f ca="1">SUM(H9:H11)</f>
        <v>-321544.86486486485</v>
      </c>
      <c r="I12" s="15">
        <f t="shared" ref="I12:V12" ca="1" si="2">SUM(I9:I11)</f>
        <v>-1534749.707815924</v>
      </c>
      <c r="J12" s="15">
        <f t="shared" ca="1" si="2"/>
        <v>-61123.539144881943</v>
      </c>
      <c r="K12" s="15">
        <f t="shared" ca="1" si="2"/>
        <v>1079829.3076611927</v>
      </c>
      <c r="L12" s="15">
        <f t="shared" ca="1" si="2"/>
        <v>1326269.1649073772</v>
      </c>
      <c r="M12" s="15">
        <f t="shared" ca="1" si="2"/>
        <v>1757049.7866898689</v>
      </c>
      <c r="N12" s="15">
        <f t="shared" ca="1" si="2"/>
        <v>1570174.4665393294</v>
      </c>
      <c r="O12" s="15">
        <f t="shared" ca="1" si="2"/>
        <v>1255096.0639603972</v>
      </c>
      <c r="P12" s="15">
        <f t="shared" ca="1" si="2"/>
        <v>1192145.9765028148</v>
      </c>
      <c r="Q12" s="15">
        <f t="shared" ca="1" si="2"/>
        <v>1193190.4840160429</v>
      </c>
      <c r="R12" s="15">
        <f t="shared" ca="1" si="2"/>
        <v>1131309.8589923189</v>
      </c>
      <c r="S12" s="15">
        <f t="shared" ca="1" si="2"/>
        <v>1131626.4630577876</v>
      </c>
      <c r="T12" s="15">
        <f t="shared" ca="1" si="2"/>
        <v>1069743.3588257194</v>
      </c>
      <c r="U12" s="15">
        <f t="shared" ca="1" si="2"/>
        <v>1070787.8663389217</v>
      </c>
      <c r="V12" s="15">
        <f t="shared" ca="1" si="2"/>
        <v>1277218.042479831</v>
      </c>
      <c r="W12"/>
    </row>
    <row r="14" spans="1:25" s="10" customFormat="1" ht="13" x14ac:dyDescent="0.3">
      <c r="A14" s="10">
        <v>2</v>
      </c>
      <c r="B14" s="10" t="s">
        <v>150</v>
      </c>
      <c r="E14" s="11"/>
      <c r="F14" s="11"/>
    </row>
    <row r="15" spans="1:25" s="1" customFormat="1" outlineLevel="1" x14ac:dyDescent="0.35">
      <c r="E15" s="2"/>
      <c r="H15"/>
    </row>
    <row r="16" spans="1:25" s="1" customFormat="1" outlineLevel="1" x14ac:dyDescent="0.35">
      <c r="D16" s="1" t="s">
        <v>152</v>
      </c>
      <c r="E16" s="2" t="s">
        <v>78</v>
      </c>
      <c r="F16" s="2"/>
      <c r="H16" s="15">
        <f ca="1">IF(H12&gt;0,0,-H12*H8)</f>
        <v>0</v>
      </c>
      <c r="I16" s="15">
        <f t="shared" ref="I16:V16" ca="1" si="3">IF(I12&gt;0,0,-I12*I8)</f>
        <v>0</v>
      </c>
      <c r="J16" s="15">
        <f t="shared" ca="1" si="3"/>
        <v>0</v>
      </c>
      <c r="K16" s="15">
        <f t="shared" ca="1" si="3"/>
        <v>0</v>
      </c>
      <c r="L16" s="15">
        <f t="shared" ca="1" si="3"/>
        <v>0</v>
      </c>
      <c r="M16" s="15">
        <f t="shared" ca="1" si="3"/>
        <v>0</v>
      </c>
      <c r="N16" s="15">
        <f t="shared" ca="1" si="3"/>
        <v>0</v>
      </c>
      <c r="O16" s="15">
        <f t="shared" ca="1" si="3"/>
        <v>0</v>
      </c>
      <c r="P16" s="15">
        <f t="shared" ca="1" si="3"/>
        <v>0</v>
      </c>
      <c r="Q16" s="15">
        <f t="shared" ca="1" si="3"/>
        <v>0</v>
      </c>
      <c r="R16" s="15">
        <f t="shared" ca="1" si="3"/>
        <v>0</v>
      </c>
      <c r="S16" s="15">
        <f t="shared" ca="1" si="3"/>
        <v>0</v>
      </c>
      <c r="T16" s="15">
        <f t="shared" ca="1" si="3"/>
        <v>0</v>
      </c>
      <c r="U16" s="15">
        <f t="shared" ca="1" si="3"/>
        <v>0</v>
      </c>
      <c r="V16" s="15">
        <f t="shared" ca="1" si="3"/>
        <v>0</v>
      </c>
      <c r="W16"/>
    </row>
    <row r="17" spans="1:23" s="1" customFormat="1" outlineLevel="1" x14ac:dyDescent="0.35">
      <c r="D17" s="1" t="s">
        <v>154</v>
      </c>
      <c r="E17" s="2" t="s">
        <v>78</v>
      </c>
      <c r="F17" s="2"/>
      <c r="H17" s="15">
        <f ca="1">H16-H18</f>
        <v>0</v>
      </c>
      <c r="I17" s="15">
        <f ca="1">H17+I16-I18</f>
        <v>0</v>
      </c>
      <c r="J17" s="15">
        <f t="shared" ref="J17:V17" ca="1" si="4">I17+J16-J18</f>
        <v>0</v>
      </c>
      <c r="K17" s="15">
        <f t="shared" ca="1" si="4"/>
        <v>0</v>
      </c>
      <c r="L17" s="15">
        <f t="shared" ca="1" si="4"/>
        <v>0</v>
      </c>
      <c r="M17" s="15">
        <f t="shared" ca="1" si="4"/>
        <v>0</v>
      </c>
      <c r="N17" s="15">
        <f t="shared" ca="1" si="4"/>
        <v>0</v>
      </c>
      <c r="O17" s="15">
        <f t="shared" ca="1" si="4"/>
        <v>0</v>
      </c>
      <c r="P17" s="15">
        <f t="shared" ca="1" si="4"/>
        <v>0</v>
      </c>
      <c r="Q17" s="15">
        <f t="shared" ca="1" si="4"/>
        <v>0</v>
      </c>
      <c r="R17" s="15">
        <f t="shared" ca="1" si="4"/>
        <v>0</v>
      </c>
      <c r="S17" s="15">
        <f t="shared" ca="1" si="4"/>
        <v>0</v>
      </c>
      <c r="T17" s="15">
        <f t="shared" ca="1" si="4"/>
        <v>0</v>
      </c>
      <c r="U17" s="15">
        <f t="shared" ca="1" si="4"/>
        <v>0</v>
      </c>
      <c r="V17" s="15">
        <f t="shared" ca="1" si="4"/>
        <v>0</v>
      </c>
      <c r="W17"/>
    </row>
    <row r="18" spans="1:23" s="1" customFormat="1" outlineLevel="1" x14ac:dyDescent="0.35">
      <c r="D18" s="1" t="s">
        <v>153</v>
      </c>
      <c r="E18" s="2" t="s">
        <v>78</v>
      </c>
      <c r="F18" s="2"/>
      <c r="H18" s="15">
        <f ca="1">IF(H12&lt;0,0,IF(G17=0,0,IF(G17&gt;H12*H8,H12*H8,G17)))</f>
        <v>0</v>
      </c>
      <c r="I18" s="15">
        <f t="shared" ref="I18:V18" ca="1" si="5">IF(I12&lt;0,0,IF(H17=0,0,IF(H17&gt;I12*I8,I12*I8,H17)))</f>
        <v>0</v>
      </c>
      <c r="J18" s="15">
        <f t="shared" ca="1" si="5"/>
        <v>0</v>
      </c>
      <c r="K18" s="15">
        <f t="shared" ca="1" si="5"/>
        <v>0</v>
      </c>
      <c r="L18" s="15">
        <f t="shared" ca="1" si="5"/>
        <v>0</v>
      </c>
      <c r="M18" s="15">
        <f t="shared" ca="1" si="5"/>
        <v>0</v>
      </c>
      <c r="N18" s="15">
        <f t="shared" ca="1" si="5"/>
        <v>0</v>
      </c>
      <c r="O18" s="15">
        <f t="shared" ca="1" si="5"/>
        <v>0</v>
      </c>
      <c r="P18" s="15">
        <f t="shared" ca="1" si="5"/>
        <v>0</v>
      </c>
      <c r="Q18" s="15">
        <f t="shared" ca="1" si="5"/>
        <v>0</v>
      </c>
      <c r="R18" s="15">
        <f t="shared" ca="1" si="5"/>
        <v>0</v>
      </c>
      <c r="S18" s="15">
        <f t="shared" ca="1" si="5"/>
        <v>0</v>
      </c>
      <c r="T18" s="15">
        <f t="shared" ca="1" si="5"/>
        <v>0</v>
      </c>
      <c r="U18" s="15">
        <f t="shared" ca="1" si="5"/>
        <v>0</v>
      </c>
      <c r="V18" s="15">
        <f t="shared" ca="1" si="5"/>
        <v>0</v>
      </c>
      <c r="W18"/>
    </row>
    <row r="20" spans="1:23" s="10" customFormat="1" ht="13" x14ac:dyDescent="0.3">
      <c r="A20" s="10">
        <v>3</v>
      </c>
      <c r="B20" s="10" t="s">
        <v>151</v>
      </c>
      <c r="E20" s="11"/>
      <c r="F20" s="11"/>
    </row>
    <row r="21" spans="1:23" s="1" customFormat="1" outlineLevel="1" x14ac:dyDescent="0.35">
      <c r="E21" s="2"/>
      <c r="H21"/>
    </row>
    <row r="22" spans="1:23" s="1" customFormat="1" outlineLevel="1" x14ac:dyDescent="0.35">
      <c r="D22" s="32" t="s">
        <v>152</v>
      </c>
      <c r="E22" s="2" t="s">
        <v>78</v>
      </c>
      <c r="F22" s="2"/>
      <c r="H22" s="15">
        <f ca="1">IF(H12&gt;0,0,-H12*(1-H8))</f>
        <v>321544.86486486485</v>
      </c>
      <c r="I22" s="15">
        <f t="shared" ref="I22:V22" ca="1" si="6">IF(I12&gt;0,0,-I12*(1-I8))</f>
        <v>1534749.707815924</v>
      </c>
      <c r="J22" s="15">
        <f t="shared" ca="1" si="6"/>
        <v>61123.539144881943</v>
      </c>
      <c r="K22" s="15">
        <f t="shared" ca="1" si="6"/>
        <v>0</v>
      </c>
      <c r="L22" s="15">
        <f t="shared" ca="1" si="6"/>
        <v>0</v>
      </c>
      <c r="M22" s="15">
        <f t="shared" ca="1" si="6"/>
        <v>0</v>
      </c>
      <c r="N22" s="15">
        <f t="shared" ca="1" si="6"/>
        <v>0</v>
      </c>
      <c r="O22" s="15">
        <f t="shared" ca="1" si="6"/>
        <v>0</v>
      </c>
      <c r="P22" s="15">
        <f t="shared" ca="1" si="6"/>
        <v>0</v>
      </c>
      <c r="Q22" s="15">
        <f t="shared" ca="1" si="6"/>
        <v>0</v>
      </c>
      <c r="R22" s="15">
        <f t="shared" ca="1" si="6"/>
        <v>0</v>
      </c>
      <c r="S22" s="15">
        <f t="shared" ca="1" si="6"/>
        <v>0</v>
      </c>
      <c r="T22" s="15">
        <f t="shared" ca="1" si="6"/>
        <v>0</v>
      </c>
      <c r="U22" s="15">
        <f t="shared" ca="1" si="6"/>
        <v>0</v>
      </c>
      <c r="V22" s="15">
        <f t="shared" ca="1" si="6"/>
        <v>0</v>
      </c>
      <c r="W22"/>
    </row>
    <row r="23" spans="1:23" s="1" customFormat="1" outlineLevel="1" x14ac:dyDescent="0.35">
      <c r="D23" s="1" t="s">
        <v>155</v>
      </c>
      <c r="E23" s="2" t="s">
        <v>78</v>
      </c>
      <c r="F23" s="2"/>
      <c r="H23" s="15">
        <f ca="1">H22-H24</f>
        <v>321544.86486486485</v>
      </c>
      <c r="I23" s="15">
        <f ca="1">H23+I22-I24</f>
        <v>1856294.5726807888</v>
      </c>
      <c r="J23" s="15">
        <f t="shared" ref="J23" ca="1" si="7">I23+J22-J24</f>
        <v>1917418.1118256708</v>
      </c>
      <c r="K23" s="15">
        <f t="shared" ref="K23" ca="1" si="8">J23+K22-K24</f>
        <v>837588.80416447809</v>
      </c>
      <c r="L23" s="15">
        <f t="shared" ref="L23" ca="1" si="9">K23+L22-L24</f>
        <v>0</v>
      </c>
      <c r="M23" s="15">
        <f t="shared" ref="M23" ca="1" si="10">L23+M22-M24</f>
        <v>0</v>
      </c>
      <c r="N23" s="15">
        <f t="shared" ref="N23" ca="1" si="11">M23+N22-N24</f>
        <v>0</v>
      </c>
      <c r="O23" s="15">
        <f t="shared" ref="O23" ca="1" si="12">N23+O22-O24</f>
        <v>0</v>
      </c>
      <c r="P23" s="15">
        <f t="shared" ref="P23" ca="1" si="13">O23+P22-P24</f>
        <v>0</v>
      </c>
      <c r="Q23" s="15">
        <f t="shared" ref="Q23" ca="1" si="14">P23+Q22-Q24</f>
        <v>0</v>
      </c>
      <c r="R23" s="15">
        <f t="shared" ref="R23" ca="1" si="15">Q23+R22-R24</f>
        <v>-1.3969838619232178E-9</v>
      </c>
      <c r="S23" s="15">
        <f t="shared" ref="S23" ca="1" si="16">R23+S22-S24</f>
        <v>-3.8417056202888489E-8</v>
      </c>
      <c r="T23" s="15">
        <f t="shared" ref="T23" ca="1" si="17">S23+T22-T24</f>
        <v>4.5634806156158447E-8</v>
      </c>
      <c r="U23" s="15">
        <f t="shared" ref="U23" ca="1" si="18">T23+U22-U24</f>
        <v>1.2486707419157028E-6</v>
      </c>
      <c r="V23" s="15">
        <f t="shared" ref="V23" ca="1" si="19">U23+V22-V24</f>
        <v>-3.7746503949165344E-6</v>
      </c>
      <c r="W23"/>
    </row>
    <row r="24" spans="1:23" s="1" customFormat="1" outlineLevel="1" x14ac:dyDescent="0.35">
      <c r="D24" s="1" t="s">
        <v>156</v>
      </c>
      <c r="E24" s="2" t="s">
        <v>78</v>
      </c>
      <c r="F24" s="2"/>
      <c r="H24" s="15">
        <f ca="1">IF(H12&lt;0,0,IF(G23=0,0,IF(G23&gt;H12*(1-H8),H12*(1-H8),G23)))</f>
        <v>0</v>
      </c>
      <c r="I24" s="15">
        <f t="shared" ref="I24:V24" ca="1" si="20">IF(I12&lt;0,0,IF(H23=0,0,IF(H23&gt;I12*(1-I8),I12*(1-I8),H23)))</f>
        <v>0</v>
      </c>
      <c r="J24" s="15">
        <f t="shared" ca="1" si="20"/>
        <v>0</v>
      </c>
      <c r="K24" s="15">
        <f ca="1">IF(K12&lt;0,0,IF(J23=0,0,IF(J23&gt;K12*(1-K8),K12*(1-K8),J23)))</f>
        <v>1079829.3076611927</v>
      </c>
      <c r="L24" s="15">
        <f t="shared" ca="1" si="20"/>
        <v>837588.80416447809</v>
      </c>
      <c r="M24" s="15">
        <f t="shared" ca="1" si="20"/>
        <v>0</v>
      </c>
      <c r="N24" s="15">
        <f t="shared" ca="1" si="20"/>
        <v>0</v>
      </c>
      <c r="O24" s="15">
        <f t="shared" ca="1" si="20"/>
        <v>0</v>
      </c>
      <c r="P24" s="15">
        <f t="shared" ca="1" si="20"/>
        <v>0</v>
      </c>
      <c r="Q24" s="15">
        <f t="shared" ca="1" si="20"/>
        <v>0</v>
      </c>
      <c r="R24" s="15">
        <f t="shared" ca="1" si="20"/>
        <v>0</v>
      </c>
      <c r="S24" s="15">
        <f t="shared" ca="1" si="20"/>
        <v>-1.3969838619232178E-9</v>
      </c>
      <c r="T24" s="15">
        <f t="shared" ca="1" si="20"/>
        <v>-3.8417056202888489E-8</v>
      </c>
      <c r="U24" s="15">
        <f t="shared" ca="1" si="20"/>
        <v>4.5634806156158447E-8</v>
      </c>
      <c r="V24" s="15">
        <f t="shared" ca="1" si="20"/>
        <v>1.2486707419157028E-6</v>
      </c>
      <c r="W24"/>
    </row>
    <row r="25" spans="1:23" s="1" customFormat="1" outlineLevel="1" x14ac:dyDescent="0.35">
      <c r="D25" s="32" t="s">
        <v>148</v>
      </c>
      <c r="E25" s="2" t="s">
        <v>78</v>
      </c>
      <c r="F25" s="2"/>
      <c r="H25" s="15">
        <f ca="1">-G23*H7-H22*H7/2+H24*H7/2</f>
        <v>-24115.864864864863</v>
      </c>
      <c r="I25" s="15">
        <f t="shared" ref="I25:V25" ca="1" si="21">-H23*I7-I22*I7/2+I24*I7/2</f>
        <v>-163337.95781592402</v>
      </c>
      <c r="J25" s="15">
        <f t="shared" ca="1" si="21"/>
        <v>-283028.45133798447</v>
      </c>
      <c r="K25" s="15">
        <f t="shared" ca="1" si="21"/>
        <v>-206625.51869926116</v>
      </c>
      <c r="L25" s="15">
        <f t="shared" ca="1" si="21"/>
        <v>-62819.160312335851</v>
      </c>
      <c r="M25" s="15">
        <f t="shared" ca="1" si="21"/>
        <v>0</v>
      </c>
      <c r="N25" s="15">
        <f t="shared" ca="1" si="21"/>
        <v>0</v>
      </c>
      <c r="O25" s="15">
        <f t="shared" ca="1" si="21"/>
        <v>0</v>
      </c>
      <c r="P25" s="15">
        <f t="shared" ca="1" si="21"/>
        <v>0</v>
      </c>
      <c r="Q25" s="15">
        <f t="shared" ca="1" si="21"/>
        <v>0</v>
      </c>
      <c r="R25" s="15">
        <f t="shared" ca="1" si="21"/>
        <v>0</v>
      </c>
      <c r="S25" s="15">
        <f t="shared" ca="1" si="21"/>
        <v>1.0477378964424132E-10</v>
      </c>
      <c r="T25" s="15">
        <f t="shared" ca="1" si="21"/>
        <v>2.8812792152166367E-9</v>
      </c>
      <c r="U25" s="15">
        <f t="shared" ca="1" si="21"/>
        <v>-3.4226104617118834E-9</v>
      </c>
      <c r="V25" s="15">
        <f t="shared" ca="1" si="21"/>
        <v>-9.3650305643677704E-8</v>
      </c>
      <c r="W25"/>
    </row>
    <row r="29" spans="1:23" x14ac:dyDescent="0.35">
      <c r="D29" t="s">
        <v>174</v>
      </c>
    </row>
    <row r="31" spans="1:23" ht="235.5" customHeight="1" x14ac:dyDescent="0.35">
      <c r="D31" s="38" t="s">
        <v>175</v>
      </c>
      <c r="E31" s="39"/>
      <c r="F31" s="39"/>
      <c r="G31" s="39"/>
      <c r="H31" s="39"/>
      <c r="I31" s="39"/>
      <c r="J31" s="39"/>
      <c r="K31" s="39"/>
      <c r="L31" s="39"/>
      <c r="M31" s="39"/>
    </row>
  </sheetData>
  <mergeCells count="1">
    <mergeCell ref="D31:M31"/>
  </mergeCells>
  <pageMargins left="0.70866141732283472" right="0.70866141732283472" top="0.74803149606299213" bottom="0.74803149606299213" header="0.31496062992125984" footer="0.31496062992125984"/>
  <pageSetup paperSize="9" scale="54" fitToHeight="3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  <pageSetUpPr fitToPage="1"/>
  </sheetPr>
  <dimension ref="A1:Y21"/>
  <sheetViews>
    <sheetView tabSelected="1" topLeftCell="A4" workbookViewId="0">
      <selection activeCell="G7" sqref="G7"/>
    </sheetView>
  </sheetViews>
  <sheetFormatPr defaultRowHeight="14.5" outlineLevelRow="1" x14ac:dyDescent="0.35"/>
  <cols>
    <col min="1" max="3" width="2.54296875" customWidth="1"/>
    <col min="4" max="4" width="55.453125" bestFit="1" customWidth="1"/>
    <col min="6" max="6" width="3" customWidth="1"/>
    <col min="8" max="8" width="11.26953125" bestFit="1" customWidth="1"/>
    <col min="9" max="9" width="13" customWidth="1"/>
    <col min="10" max="10" width="12.54296875" customWidth="1"/>
    <col min="11" max="11" width="13.7265625" customWidth="1"/>
    <col min="12" max="22" width="10.453125" customWidth="1"/>
  </cols>
  <sheetData>
    <row r="1" spans="1:25" s="4" customFormat="1" ht="12.75" customHeight="1" x14ac:dyDescent="0.3">
      <c r="A1" s="3"/>
      <c r="B1" s="3" t="s">
        <v>0</v>
      </c>
      <c r="E1" s="3"/>
      <c r="G1" s="5"/>
    </row>
    <row r="2" spans="1:25" s="4" customFormat="1" ht="13" x14ac:dyDescent="0.3">
      <c r="D2" s="4" t="s">
        <v>29</v>
      </c>
      <c r="H2" s="6">
        <f t="shared" ref="H2:V2" si="0">период</f>
        <v>1</v>
      </c>
      <c r="I2" s="6">
        <f t="shared" si="0"/>
        <v>2</v>
      </c>
      <c r="J2" s="6">
        <f t="shared" si="0"/>
        <v>3</v>
      </c>
      <c r="K2" s="6">
        <f t="shared" si="0"/>
        <v>4</v>
      </c>
      <c r="L2" s="6">
        <f t="shared" si="0"/>
        <v>5</v>
      </c>
      <c r="M2" s="6">
        <f t="shared" si="0"/>
        <v>6</v>
      </c>
      <c r="N2" s="6">
        <f t="shared" si="0"/>
        <v>7</v>
      </c>
      <c r="O2" s="6">
        <f t="shared" si="0"/>
        <v>8</v>
      </c>
      <c r="P2" s="6">
        <f t="shared" si="0"/>
        <v>9</v>
      </c>
      <c r="Q2" s="6">
        <f t="shared" si="0"/>
        <v>10</v>
      </c>
      <c r="R2" s="6">
        <f t="shared" si="0"/>
        <v>11</v>
      </c>
      <c r="S2" s="6">
        <f t="shared" si="0"/>
        <v>12</v>
      </c>
      <c r="T2" s="6">
        <f t="shared" si="0"/>
        <v>13</v>
      </c>
      <c r="U2" s="6">
        <f t="shared" si="0"/>
        <v>14</v>
      </c>
      <c r="V2" s="6">
        <f t="shared" si="0"/>
        <v>15</v>
      </c>
      <c r="W2" s="6"/>
      <c r="X2" s="6"/>
      <c r="Y2" s="6"/>
    </row>
    <row r="3" spans="1:25" s="4" customFormat="1" ht="13" x14ac:dyDescent="0.3">
      <c r="D3" s="4" t="s">
        <v>19</v>
      </c>
      <c r="E3" s="7"/>
      <c r="G3" s="8"/>
      <c r="H3" s="14">
        <f t="shared" ref="H3:V3" si="1">период_календ</f>
        <v>2020</v>
      </c>
      <c r="I3" s="14">
        <f t="shared" si="1"/>
        <v>2021</v>
      </c>
      <c r="J3" s="14">
        <f t="shared" si="1"/>
        <v>2022</v>
      </c>
      <c r="K3" s="14">
        <f t="shared" si="1"/>
        <v>2023</v>
      </c>
      <c r="L3" s="14">
        <f t="shared" si="1"/>
        <v>2024</v>
      </c>
      <c r="M3" s="14">
        <f t="shared" si="1"/>
        <v>2025</v>
      </c>
      <c r="N3" s="14">
        <f t="shared" si="1"/>
        <v>2026</v>
      </c>
      <c r="O3" s="14">
        <f t="shared" si="1"/>
        <v>2027</v>
      </c>
      <c r="P3" s="14">
        <f t="shared" si="1"/>
        <v>2028</v>
      </c>
      <c r="Q3" s="14">
        <f t="shared" si="1"/>
        <v>2029</v>
      </c>
      <c r="R3" s="14">
        <f t="shared" si="1"/>
        <v>2030</v>
      </c>
      <c r="S3" s="14" t="e">
        <f t="shared" si="1"/>
        <v>#VALUE!</v>
      </c>
      <c r="T3" s="14" t="e">
        <f t="shared" si="1"/>
        <v>#VALUE!</v>
      </c>
      <c r="U3" s="14" t="e">
        <f t="shared" si="1"/>
        <v>#VALUE!</v>
      </c>
      <c r="V3" s="14" t="e">
        <f t="shared" si="1"/>
        <v>#VALUE!</v>
      </c>
      <c r="W3" s="9"/>
      <c r="X3" s="9"/>
      <c r="Y3" s="9"/>
    </row>
    <row r="5" spans="1:25" s="10" customFormat="1" ht="13" x14ac:dyDescent="0.3">
      <c r="A5" s="10">
        <v>1</v>
      </c>
      <c r="B5" s="10" t="s">
        <v>158</v>
      </c>
      <c r="E5" s="11"/>
      <c r="F5" s="11"/>
    </row>
    <row r="6" spans="1:25" s="1" customFormat="1" outlineLevel="1" x14ac:dyDescent="0.35">
      <c r="E6" s="2"/>
      <c r="H6"/>
    </row>
    <row r="7" spans="1:25" s="1" customFormat="1" outlineLevel="1" x14ac:dyDescent="0.35">
      <c r="D7" s="1" t="s">
        <v>28</v>
      </c>
      <c r="E7" s="2" t="s">
        <v>2</v>
      </c>
      <c r="F7" s="2"/>
      <c r="G7" s="22">
        <f>'Исходные данные'!H8</f>
        <v>0.15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</row>
    <row r="8" spans="1:25" s="1" customFormat="1" outlineLevel="1" x14ac:dyDescent="0.35">
      <c r="D8" s="1" t="s">
        <v>160</v>
      </c>
      <c r="E8" s="2" t="s">
        <v>161</v>
      </c>
      <c r="F8" s="2"/>
      <c r="H8" s="23">
        <f>1/(1+$G$7)^(H2-0.5)</f>
        <v>0.93250480824031379</v>
      </c>
      <c r="I8" s="23">
        <f t="shared" ref="I8:V8" si="2">1/(1+$G$7)^(I2-0.5)</f>
        <v>0.81087374629592512</v>
      </c>
      <c r="J8" s="23">
        <f t="shared" si="2"/>
        <v>0.70510760547471751</v>
      </c>
      <c r="K8" s="23">
        <f t="shared" si="2"/>
        <v>0.61313704823888482</v>
      </c>
      <c r="L8" s="23">
        <f t="shared" si="2"/>
        <v>0.53316265064250867</v>
      </c>
      <c r="M8" s="23">
        <f t="shared" si="2"/>
        <v>0.46361969621087712</v>
      </c>
      <c r="N8" s="23">
        <f t="shared" si="2"/>
        <v>0.40314756192250184</v>
      </c>
      <c r="O8" s="23">
        <f t="shared" si="2"/>
        <v>0.35056309732391466</v>
      </c>
      <c r="P8" s="23">
        <f t="shared" si="2"/>
        <v>0.30483747593383886</v>
      </c>
      <c r="Q8" s="23">
        <f t="shared" si="2"/>
        <v>0.26507606602942513</v>
      </c>
      <c r="R8" s="23">
        <f t="shared" si="2"/>
        <v>0.23050092698210878</v>
      </c>
      <c r="S8" s="23">
        <f t="shared" si="2"/>
        <v>0.20043558868009465</v>
      </c>
      <c r="T8" s="23">
        <f t="shared" si="2"/>
        <v>0.17429181624356058</v>
      </c>
      <c r="U8" s="23">
        <f t="shared" si="2"/>
        <v>0.15155810108135703</v>
      </c>
      <c r="V8" s="23">
        <f t="shared" si="2"/>
        <v>0.13178965311422353</v>
      </c>
      <c r="W8"/>
    </row>
    <row r="10" spans="1:25" s="10" customFormat="1" ht="13" x14ac:dyDescent="0.3">
      <c r="A10" s="10">
        <v>2</v>
      </c>
      <c r="B10" s="10" t="s">
        <v>159</v>
      </c>
      <c r="E10" s="11"/>
      <c r="F10" s="11"/>
    </row>
    <row r="11" spans="1:25" s="1" customFormat="1" outlineLevel="1" x14ac:dyDescent="0.35">
      <c r="E11" s="2"/>
      <c r="H11"/>
    </row>
    <row r="12" spans="1:25" s="1" customFormat="1" outlineLevel="1" x14ac:dyDescent="0.35">
      <c r="D12" s="1" t="s">
        <v>162</v>
      </c>
      <c r="E12" s="2" t="s">
        <v>78</v>
      </c>
      <c r="F12" s="2"/>
      <c r="H12" s="15">
        <f ca="1">'Cash Flow'!H13+'Cash Flow'!H20+'Cash Flow'!H25</f>
        <v>-321544.86486486485</v>
      </c>
      <c r="I12" s="15">
        <f ca="1">'Cash Flow'!I13+'Cash Flow'!I20+'Cash Flow'!I25</f>
        <v>-1534749.707815924</v>
      </c>
      <c r="J12" s="15">
        <f ca="1">'Cash Flow'!J13+'Cash Flow'!J20+'Cash Flow'!J25</f>
        <v>-61123.539144881943</v>
      </c>
      <c r="K12" s="15">
        <f ca="1">'Cash Flow'!K13+'Cash Flow'!K20+'Cash Flow'!K25</f>
        <v>1079829.3076611927</v>
      </c>
      <c r="L12" s="15">
        <f ca="1">'Cash Flow'!L13+'Cash Flow'!L20+'Cash Flow'!L25</f>
        <v>1326269.1649073772</v>
      </c>
      <c r="M12" s="15">
        <f ca="1">'Cash Flow'!M13+'Cash Flow'!M20+'Cash Flow'!M25</f>
        <v>1757049.7866898689</v>
      </c>
      <c r="N12" s="15">
        <f ca="1">'Cash Flow'!N13+'Cash Flow'!N20+'Cash Flow'!N25</f>
        <v>1570174.4665393294</v>
      </c>
      <c r="O12" s="15">
        <f ca="1">'Cash Flow'!O13+'Cash Flow'!O20+'Cash Flow'!O25</f>
        <v>1255096.0639603972</v>
      </c>
      <c r="P12" s="15">
        <f ca="1">'Cash Flow'!P13+'Cash Flow'!P20+'Cash Flow'!P25</f>
        <v>1192145.9765028148</v>
      </c>
      <c r="Q12" s="15">
        <f ca="1">'Cash Flow'!Q13+'Cash Flow'!Q20+'Cash Flow'!Q25</f>
        <v>1193190.4840160429</v>
      </c>
      <c r="R12" s="15">
        <f ca="1">'Cash Flow'!R13+'Cash Flow'!R20+'Cash Flow'!R25</f>
        <v>1131309.8589923189</v>
      </c>
      <c r="S12" s="15">
        <f ca="1">'Cash Flow'!S13+'Cash Flow'!S20+'Cash Flow'!S25</f>
        <v>1131626.4630577876</v>
      </c>
      <c r="T12" s="15">
        <f ca="1">'Cash Flow'!T13+'Cash Flow'!T20+'Cash Flow'!T25</f>
        <v>1069743.3588257194</v>
      </c>
      <c r="U12" s="15">
        <f ca="1">'Cash Flow'!U13+'Cash Flow'!U20+'Cash Flow'!U25</f>
        <v>1070787.8663389217</v>
      </c>
      <c r="V12" s="15">
        <f ca="1">'Cash Flow'!V13+'Cash Flow'!V20+'Cash Flow'!V25</f>
        <v>1277218.042479831</v>
      </c>
      <c r="W12"/>
    </row>
    <row r="13" spans="1:25" s="1" customFormat="1" outlineLevel="1" x14ac:dyDescent="0.35">
      <c r="D13" s="1" t="s">
        <v>163</v>
      </c>
      <c r="E13" s="2" t="s">
        <v>78</v>
      </c>
      <c r="F13" s="2"/>
      <c r="H13" s="15">
        <f ca="1">G13+H12</f>
        <v>-321544.86486486485</v>
      </c>
      <c r="I13" s="15">
        <f t="shared" ref="I13:V13" ca="1" si="3">H13+I12</f>
        <v>-1856294.5726807888</v>
      </c>
      <c r="J13" s="15">
        <f t="shared" ca="1" si="3"/>
        <v>-1917418.1118256708</v>
      </c>
      <c r="K13" s="15">
        <f t="shared" ca="1" si="3"/>
        <v>-837588.80416447809</v>
      </c>
      <c r="L13" s="15">
        <f t="shared" ca="1" si="3"/>
        <v>488680.36074289912</v>
      </c>
      <c r="M13" s="15">
        <f t="shared" ca="1" si="3"/>
        <v>2245730.1474327678</v>
      </c>
      <c r="N13" s="15">
        <f t="shared" ca="1" si="3"/>
        <v>3815904.6139720972</v>
      </c>
      <c r="O13" s="15">
        <f t="shared" ca="1" si="3"/>
        <v>5071000.6779324943</v>
      </c>
      <c r="P13" s="15">
        <f t="shared" ca="1" si="3"/>
        <v>6263146.6544353087</v>
      </c>
      <c r="Q13" s="15">
        <f t="shared" ca="1" si="3"/>
        <v>7456337.1384513518</v>
      </c>
      <c r="R13" s="15">
        <f t="shared" ca="1" si="3"/>
        <v>8587646.9974436704</v>
      </c>
      <c r="S13" s="15">
        <f t="shared" ca="1" si="3"/>
        <v>9719273.4605014585</v>
      </c>
      <c r="T13" s="15">
        <f t="shared" ca="1" si="3"/>
        <v>10789016.819327177</v>
      </c>
      <c r="U13" s="15">
        <f t="shared" ca="1" si="3"/>
        <v>11859804.685666099</v>
      </c>
      <c r="V13" s="15">
        <f t="shared" ca="1" si="3"/>
        <v>13137022.728145931</v>
      </c>
      <c r="W13"/>
    </row>
    <row r="14" spans="1:25" s="1" customFormat="1" outlineLevel="1" x14ac:dyDescent="0.35">
      <c r="D14" s="1" t="s">
        <v>164</v>
      </c>
      <c r="E14" s="2" t="s">
        <v>78</v>
      </c>
      <c r="F14" s="2"/>
      <c r="H14" s="15">
        <f>'Cash Flow'!H20*H8</f>
        <v>-37300.192329612553</v>
      </c>
      <c r="I14" s="15">
        <f>'Cash Flow'!I20*I8</f>
        <v>-867634.90853663988</v>
      </c>
      <c r="J14" s="15">
        <f>'Cash Flow'!J20*J8</f>
        <v>-193904.59150554732</v>
      </c>
      <c r="K14" s="15">
        <f>'Cash Flow'!K20*K8</f>
        <v>-27591.167170749817</v>
      </c>
      <c r="L14" s="15">
        <f>'Cash Flow'!L20*L8</f>
        <v>0</v>
      </c>
      <c r="M14" s="15">
        <f>'Cash Flow'!M20*M8</f>
        <v>0</v>
      </c>
      <c r="N14" s="15">
        <f>'Cash Flow'!N20*N8</f>
        <v>0</v>
      </c>
      <c r="O14" s="15">
        <f>'Cash Flow'!O20*O8</f>
        <v>0</v>
      </c>
      <c r="P14" s="15">
        <f>'Cash Flow'!P20*P8</f>
        <v>0</v>
      </c>
      <c r="Q14" s="15">
        <f>'Cash Flow'!Q20*Q8</f>
        <v>0</v>
      </c>
      <c r="R14" s="15">
        <f>'Cash Flow'!R20*R8</f>
        <v>0</v>
      </c>
      <c r="S14" s="15">
        <f>'Cash Flow'!S20*S8</f>
        <v>0</v>
      </c>
      <c r="T14" s="15">
        <f>'Cash Flow'!T20*T8</f>
        <v>0</v>
      </c>
      <c r="U14" s="15">
        <f>'Cash Flow'!U20*U8</f>
        <v>0</v>
      </c>
      <c r="V14" s="15">
        <f>'Cash Flow'!V20*V8</f>
        <v>0</v>
      </c>
      <c r="W14"/>
    </row>
    <row r="15" spans="1:25" s="1" customFormat="1" outlineLevel="1" x14ac:dyDescent="0.35">
      <c r="D15" s="1" t="s">
        <v>165</v>
      </c>
      <c r="E15" s="2" t="s">
        <v>78</v>
      </c>
      <c r="F15" s="2"/>
      <c r="H15" s="15">
        <f ca="1">H12*H8</f>
        <v>-299842.13255146838</v>
      </c>
      <c r="I15" s="15">
        <f t="shared" ref="I15:V15" ca="1" si="4">I12*I8</f>
        <v>-1244488.2452032748</v>
      </c>
      <c r="J15" s="15">
        <f t="shared" ca="1" si="4"/>
        <v>-43098.672324587867</v>
      </c>
      <c r="K15" s="15">
        <f t="shared" ca="1" si="4"/>
        <v>662083.35430122237</v>
      </c>
      <c r="L15" s="15">
        <f t="shared" ca="1" si="4"/>
        <v>707117.18342744373</v>
      </c>
      <c r="M15" s="15">
        <f t="shared" ca="1" si="4"/>
        <v>814602.88833254343</v>
      </c>
      <c r="N15" s="15">
        <f t="shared" ca="1" si="4"/>
        <v>633012.00797829556</v>
      </c>
      <c r="O15" s="15">
        <f t="shared" ca="1" si="4"/>
        <v>439990.36362101091</v>
      </c>
      <c r="P15" s="15">
        <f t="shared" ca="1" si="4"/>
        <v>363410.77042179962</v>
      </c>
      <c r="Q15" s="15">
        <f t="shared" ca="1" si="4"/>
        <v>316286.23952671833</v>
      </c>
      <c r="R15" s="15">
        <f t="shared" ca="1" si="4"/>
        <v>260767.97120172827</v>
      </c>
      <c r="S15" s="15">
        <f t="shared" ca="1" si="4"/>
        <v>226818.21628896103</v>
      </c>
      <c r="T15" s="15">
        <f t="shared" ca="1" si="4"/>
        <v>186447.51292422158</v>
      </c>
      <c r="U15" s="15">
        <f t="shared" ca="1" si="4"/>
        <v>162286.57568328493</v>
      </c>
      <c r="V15" s="15">
        <f t="shared" ca="1" si="4"/>
        <v>168324.12276964454</v>
      </c>
      <c r="W15"/>
    </row>
    <row r="16" spans="1:25" s="1" customFormat="1" outlineLevel="1" x14ac:dyDescent="0.35">
      <c r="D16" s="1" t="s">
        <v>166</v>
      </c>
      <c r="E16" s="2" t="s">
        <v>78</v>
      </c>
      <c r="F16" s="2"/>
      <c r="H16" s="15">
        <f ca="1">G16+H15</f>
        <v>-299842.13255146838</v>
      </c>
      <c r="I16" s="15">
        <f t="shared" ref="I16:V16" ca="1" si="5">H16+I15</f>
        <v>-1544330.3777547432</v>
      </c>
      <c r="J16" s="15">
        <f t="shared" ca="1" si="5"/>
        <v>-1587429.050079331</v>
      </c>
      <c r="K16" s="15">
        <f t="shared" ca="1" si="5"/>
        <v>-925345.69577810867</v>
      </c>
      <c r="L16" s="15">
        <f t="shared" ca="1" si="5"/>
        <v>-218228.51235066494</v>
      </c>
      <c r="M16" s="15">
        <f t="shared" ca="1" si="5"/>
        <v>596374.37598187849</v>
      </c>
      <c r="N16" s="15">
        <f t="shared" ca="1" si="5"/>
        <v>1229386.3839601739</v>
      </c>
      <c r="O16" s="15">
        <f t="shared" ca="1" si="5"/>
        <v>1669376.7475811848</v>
      </c>
      <c r="P16" s="15">
        <f t="shared" ca="1" si="5"/>
        <v>2032787.5180029846</v>
      </c>
      <c r="Q16" s="15">
        <f t="shared" ca="1" si="5"/>
        <v>2349073.757529703</v>
      </c>
      <c r="R16" s="15">
        <f t="shared" ca="1" si="5"/>
        <v>2609841.7287314311</v>
      </c>
      <c r="S16" s="15">
        <f t="shared" ca="1" si="5"/>
        <v>2836659.9450203921</v>
      </c>
      <c r="T16" s="15">
        <f t="shared" ca="1" si="5"/>
        <v>3023107.4579446139</v>
      </c>
      <c r="U16" s="15">
        <f t="shared" ca="1" si="5"/>
        <v>3185394.0336278989</v>
      </c>
      <c r="V16" s="15">
        <f t="shared" ca="1" si="5"/>
        <v>3353718.1563975434</v>
      </c>
      <c r="W16"/>
    </row>
    <row r="17" spans="4:23" s="1" customFormat="1" outlineLevel="1" x14ac:dyDescent="0.35">
      <c r="D17" s="1" t="s">
        <v>167</v>
      </c>
      <c r="E17" s="2" t="s">
        <v>78</v>
      </c>
      <c r="F17" s="2"/>
      <c r="H17" s="25">
        <f ca="1">SUM(H15:V15)</f>
        <v>3353718.1563975434</v>
      </c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</row>
    <row r="18" spans="4:23" s="1" customFormat="1" outlineLevel="1" x14ac:dyDescent="0.35">
      <c r="D18" s="1" t="s">
        <v>168</v>
      </c>
      <c r="E18" s="2" t="s">
        <v>2</v>
      </c>
      <c r="F18" s="2"/>
      <c r="H18" s="26">
        <f ca="1">IFERROR(IRR(H12:V12),"∞")</f>
        <v>0.44017655188530336</v>
      </c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</row>
    <row r="19" spans="4:23" s="1" customFormat="1" outlineLevel="1" x14ac:dyDescent="0.35">
      <c r="D19" s="1" t="s">
        <v>169</v>
      </c>
      <c r="E19" s="2" t="s">
        <v>161</v>
      </c>
      <c r="F19" s="2"/>
      <c r="H19" s="27">
        <f ca="1">H17/-SUM(H14:V14)</f>
        <v>2.9772960568210185</v>
      </c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</row>
    <row r="20" spans="4:23" s="1" customFormat="1" outlineLevel="1" x14ac:dyDescent="0.35">
      <c r="D20" s="1" t="s">
        <v>170</v>
      </c>
      <c r="E20" s="2" t="s">
        <v>126</v>
      </c>
      <c r="F20" s="2"/>
      <c r="H20" s="25">
        <f ca="1">IF(V13&lt;0,"не окупается",COUNTIF(H13:V13,"&lt;0")+IFERROR(ABS(OFFSET(H13,0,COUNTIF(H13:V13,"&lt;0")-1)/OFFSET(H13,-1,COUNTIF(H13:V13,"&lt;0"))),0))</f>
        <v>4.6315375689390867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</row>
    <row r="21" spans="4:23" s="1" customFormat="1" outlineLevel="1" x14ac:dyDescent="0.35">
      <c r="D21" s="1" t="s">
        <v>171</v>
      </c>
      <c r="E21" s="2" t="s">
        <v>126</v>
      </c>
      <c r="F21" s="2"/>
      <c r="H21" s="25">
        <f ca="1">IF(H17&lt;0,"∞",COUNTIF(H16:V16,"&lt;0")+IFERROR(ABS(OFFSET(H16,0,COUNTIF(H16:V16,"&lt;0")-1)/OFFSET(H16,-1,COUNTIF(H16:V16,"&lt;0"))),0))</f>
        <v>5.2678955789088464</v>
      </c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</row>
  </sheetData>
  <pageMargins left="0.70866141732283472" right="0.70866141732283472" top="0.74803149606299213" bottom="0.74803149606299213" header="0.31496062992125984" footer="0.31496062992125984"/>
  <pageSetup paperSize="9" scale="48" fitToHeight="3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  <pageSetUpPr fitToPage="1"/>
  </sheetPr>
  <dimension ref="A1:Y12"/>
  <sheetViews>
    <sheetView topLeftCell="A4" workbookViewId="0">
      <selection activeCell="L13" sqref="L13"/>
    </sheetView>
  </sheetViews>
  <sheetFormatPr defaultRowHeight="14.5" x14ac:dyDescent="0.35"/>
  <cols>
    <col min="2" max="2" width="16.7265625" bestFit="1" customWidth="1"/>
    <col min="3" max="3" width="8" customWidth="1"/>
    <col min="4" max="4" width="13" customWidth="1"/>
    <col min="5" max="5" width="12" customWidth="1"/>
    <col min="6" max="6" width="10.81640625" customWidth="1"/>
  </cols>
  <sheetData>
    <row r="1" spans="1:25" s="4" customFormat="1" ht="12.75" hidden="1" customHeight="1" x14ac:dyDescent="0.3">
      <c r="A1" s="3"/>
      <c r="B1" s="3" t="s">
        <v>0</v>
      </c>
      <c r="E1" s="3"/>
      <c r="G1" s="5"/>
    </row>
    <row r="2" spans="1:25" s="4" customFormat="1" ht="13" hidden="1" x14ac:dyDescent="0.3">
      <c r="D2" s="4" t="s">
        <v>29</v>
      </c>
      <c r="H2" s="6">
        <f t="shared" ref="H2:V2" si="0">период</f>
        <v>1</v>
      </c>
      <c r="I2" s="6">
        <f t="shared" si="0"/>
        <v>2</v>
      </c>
      <c r="J2" s="6">
        <f t="shared" si="0"/>
        <v>3</v>
      </c>
      <c r="K2" s="6">
        <f t="shared" si="0"/>
        <v>4</v>
      </c>
      <c r="L2" s="6">
        <f t="shared" si="0"/>
        <v>5</v>
      </c>
      <c r="M2" s="6">
        <f t="shared" si="0"/>
        <v>6</v>
      </c>
      <c r="N2" s="6">
        <f t="shared" si="0"/>
        <v>7</v>
      </c>
      <c r="O2" s="6">
        <f t="shared" si="0"/>
        <v>8</v>
      </c>
      <c r="P2" s="6">
        <f t="shared" si="0"/>
        <v>9</v>
      </c>
      <c r="Q2" s="6">
        <f t="shared" si="0"/>
        <v>10</v>
      </c>
      <c r="R2" s="6">
        <f t="shared" si="0"/>
        <v>11</v>
      </c>
      <c r="S2" s="6">
        <f t="shared" si="0"/>
        <v>12</v>
      </c>
      <c r="T2" s="6">
        <f t="shared" si="0"/>
        <v>13</v>
      </c>
      <c r="U2" s="6">
        <f t="shared" si="0"/>
        <v>14</v>
      </c>
      <c r="V2" s="6">
        <f t="shared" si="0"/>
        <v>15</v>
      </c>
      <c r="W2" s="6"/>
      <c r="X2" s="6"/>
      <c r="Y2" s="6"/>
    </row>
    <row r="3" spans="1:25" s="4" customFormat="1" ht="13" hidden="1" x14ac:dyDescent="0.3">
      <c r="D3" s="4" t="s">
        <v>19</v>
      </c>
      <c r="E3" s="7"/>
      <c r="G3" s="8"/>
      <c r="H3" s="14">
        <f t="shared" ref="H3:V3" si="1">период_календ</f>
        <v>2020</v>
      </c>
      <c r="I3" s="14">
        <f t="shared" si="1"/>
        <v>2021</v>
      </c>
      <c r="J3" s="14">
        <f t="shared" si="1"/>
        <v>2022</v>
      </c>
      <c r="K3" s="14">
        <f t="shared" si="1"/>
        <v>2023</v>
      </c>
      <c r="L3" s="14">
        <f t="shared" si="1"/>
        <v>2024</v>
      </c>
      <c r="M3" s="14">
        <f t="shared" si="1"/>
        <v>2025</v>
      </c>
      <c r="N3" s="14">
        <f t="shared" si="1"/>
        <v>2026</v>
      </c>
      <c r="O3" s="14">
        <f t="shared" si="1"/>
        <v>2027</v>
      </c>
      <c r="P3" s="14">
        <f t="shared" si="1"/>
        <v>2028</v>
      </c>
      <c r="Q3" s="14">
        <f t="shared" si="1"/>
        <v>2029</v>
      </c>
      <c r="R3" s="14">
        <f t="shared" si="1"/>
        <v>2030</v>
      </c>
      <c r="S3" s="14" t="e">
        <f t="shared" si="1"/>
        <v>#VALUE!</v>
      </c>
      <c r="T3" s="14" t="e">
        <f t="shared" si="1"/>
        <v>#VALUE!</v>
      </c>
      <c r="U3" s="14" t="e">
        <f t="shared" si="1"/>
        <v>#VALUE!</v>
      </c>
      <c r="V3" s="14" t="e">
        <f t="shared" si="1"/>
        <v>#VALUE!</v>
      </c>
      <c r="W3" s="9"/>
      <c r="X3" s="9"/>
      <c r="Y3" s="9"/>
    </row>
    <row r="5" spans="1:25" x14ac:dyDescent="0.35">
      <c r="B5" s="10"/>
      <c r="C5" s="10"/>
      <c r="D5" s="10"/>
      <c r="E5" s="40" t="s">
        <v>12</v>
      </c>
      <c r="F5" s="40"/>
      <c r="G5" s="40"/>
      <c r="H5" s="40"/>
      <c r="I5" s="40"/>
      <c r="J5" s="40"/>
      <c r="K5" s="40"/>
      <c r="L5" s="40"/>
      <c r="M5" s="40"/>
    </row>
    <row r="6" spans="1:25" x14ac:dyDescent="0.35">
      <c r="B6" s="28"/>
      <c r="C6" s="28"/>
      <c r="D6" s="29"/>
      <c r="E6" s="30">
        <v>-0.2</v>
      </c>
      <c r="F6" s="30">
        <v>-0.15</v>
      </c>
      <c r="G6" s="30">
        <v>-0.1</v>
      </c>
      <c r="H6" s="30">
        <v>-0.05</v>
      </c>
      <c r="I6" s="30">
        <v>0</v>
      </c>
      <c r="J6" s="30">
        <v>0.05</v>
      </c>
      <c r="K6" s="30">
        <v>0.1</v>
      </c>
      <c r="L6" s="30">
        <v>0.15</v>
      </c>
      <c r="M6" s="30">
        <v>0.2</v>
      </c>
    </row>
    <row r="7" spans="1:25" x14ac:dyDescent="0.35">
      <c r="B7" s="28" t="s">
        <v>173</v>
      </c>
      <c r="C7" s="33"/>
      <c r="D7" s="31">
        <f ca="1">'Эфф-ть проекта'!H17</f>
        <v>3353718.1563965054</v>
      </c>
      <c r="E7" s="31">
        <f t="dataTable" ref="E7:M7" dt2D="0" dtr="1" r1="C7" ca="1"/>
        <v>1776327.1222630187</v>
      </c>
      <c r="F7" s="31">
        <v>2178447.8801090545</v>
      </c>
      <c r="G7" s="31">
        <v>2580568.6379718487</v>
      </c>
      <c r="H7" s="31">
        <v>2967252.5244231173</v>
      </c>
      <c r="I7" s="31">
        <v>3353718.1563824737</v>
      </c>
      <c r="J7" s="31">
        <v>3740183.7883418291</v>
      </c>
      <c r="K7" s="31">
        <v>4126649.4203618583</v>
      </c>
      <c r="L7" s="31">
        <v>4513115.0523228105</v>
      </c>
      <c r="M7" s="31">
        <v>4899580.684282166</v>
      </c>
    </row>
    <row r="8" spans="1:25" x14ac:dyDescent="0.35"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</row>
    <row r="9" spans="1:25" x14ac:dyDescent="0.35">
      <c r="B9" s="10"/>
      <c r="C9" s="10"/>
      <c r="D9" s="10"/>
      <c r="E9" s="40" t="s">
        <v>172</v>
      </c>
      <c r="F9" s="40"/>
      <c r="G9" s="40"/>
      <c r="H9" s="40"/>
      <c r="I9" s="40"/>
      <c r="J9" s="40"/>
      <c r="K9" s="40"/>
      <c r="L9" s="40"/>
      <c r="M9" s="40"/>
    </row>
    <row r="10" spans="1:25" x14ac:dyDescent="0.35">
      <c r="B10" s="28"/>
      <c r="C10" s="28"/>
      <c r="D10" s="28"/>
      <c r="E10" s="30">
        <v>-0.2</v>
      </c>
      <c r="F10" s="30">
        <v>-0.15</v>
      </c>
      <c r="G10" s="30">
        <v>-0.1</v>
      </c>
      <c r="H10" s="30">
        <v>-0.05</v>
      </c>
      <c r="I10" s="30">
        <v>0</v>
      </c>
      <c r="J10" s="30">
        <v>0.05</v>
      </c>
      <c r="K10" s="30">
        <v>0.1</v>
      </c>
      <c r="L10" s="30">
        <v>0.15</v>
      </c>
      <c r="M10" s="30">
        <v>0.2</v>
      </c>
    </row>
    <row r="11" spans="1:25" x14ac:dyDescent="0.35">
      <c r="B11" s="28" t="str">
        <f>B7</f>
        <v>Значение NPV</v>
      </c>
      <c r="C11" s="28">
        <v>0</v>
      </c>
      <c r="D11" s="31">
        <f ca="1">'Эфф-ть проекта'!H17</f>
        <v>3353718.1563965054</v>
      </c>
      <c r="E11" s="31">
        <f t="dataTable" ref="E11:M11" dt2D="0" dtr="1" r1="C11" ca="1"/>
        <v>3570141.9639058355</v>
      </c>
      <c r="F11" s="31">
        <v>3516036.0120224101</v>
      </c>
      <c r="G11" s="31">
        <v>3461930.0601465125</v>
      </c>
      <c r="H11" s="31">
        <v>3407824.1082636751</v>
      </c>
      <c r="I11" s="31">
        <v>3353718.1563808364</v>
      </c>
      <c r="J11" s="31">
        <v>3299612.2044979935</v>
      </c>
      <c r="K11" s="31">
        <v>3245506.2526151519</v>
      </c>
      <c r="L11" s="31">
        <v>3191400.3007323109</v>
      </c>
      <c r="M11" s="31">
        <v>3137294.3488494707</v>
      </c>
    </row>
    <row r="12" spans="1:25" x14ac:dyDescent="0.35">
      <c r="B12" s="28"/>
      <c r="C12" s="28"/>
      <c r="D12" s="29"/>
      <c r="E12" s="28"/>
      <c r="F12" s="28"/>
      <c r="G12" s="28"/>
      <c r="H12" s="28"/>
      <c r="I12" s="28"/>
      <c r="J12" s="28"/>
      <c r="K12" s="28"/>
      <c r="L12" s="28"/>
      <c r="M12" s="28"/>
    </row>
  </sheetData>
  <mergeCells count="2">
    <mergeCell ref="E5:M5"/>
    <mergeCell ref="E9:M9"/>
  </mergeCells>
  <conditionalFormatting sqref="E6:M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0:M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fitToHeight="3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H2:V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X2" sqref="X2"/>
    </sheetView>
  </sheetViews>
  <sheetFormatPr defaultRowHeight="14.5" x14ac:dyDescent="0.35"/>
  <sheetData>
    <row r="2" spans="8:22" x14ac:dyDescent="0.35">
      <c r="H2">
        <f t="shared" ref="H2:V2" si="0">период</f>
        <v>1</v>
      </c>
      <c r="I2">
        <f t="shared" si="0"/>
        <v>2</v>
      </c>
      <c r="J2">
        <f t="shared" si="0"/>
        <v>3</v>
      </c>
      <c r="K2">
        <f t="shared" si="0"/>
        <v>4</v>
      </c>
      <c r="L2">
        <f t="shared" si="0"/>
        <v>5</v>
      </c>
      <c r="M2">
        <f t="shared" si="0"/>
        <v>6</v>
      </c>
      <c r="N2">
        <f t="shared" si="0"/>
        <v>7</v>
      </c>
      <c r="O2">
        <f t="shared" si="0"/>
        <v>8</v>
      </c>
      <c r="P2">
        <f t="shared" si="0"/>
        <v>9</v>
      </c>
      <c r="Q2">
        <f t="shared" si="0"/>
        <v>10</v>
      </c>
      <c r="R2">
        <f t="shared" si="0"/>
        <v>11</v>
      </c>
      <c r="S2">
        <f t="shared" si="0"/>
        <v>12</v>
      </c>
      <c r="T2">
        <f t="shared" si="0"/>
        <v>13</v>
      </c>
      <c r="U2">
        <f t="shared" si="0"/>
        <v>14</v>
      </c>
      <c r="V2">
        <f t="shared" si="0"/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11</vt:i4>
      </vt:variant>
      <vt:variant>
        <vt:lpstr>Именованные диапазоны</vt:lpstr>
      </vt:variant>
      <vt:variant>
        <vt:i4>4</vt:i4>
      </vt:variant>
    </vt:vector>
  </HeadingPairs>
  <TitlesOfParts>
    <vt:vector size="15" baseType="lpstr">
      <vt:lpstr>Исходные данные</vt:lpstr>
      <vt:lpstr>Горный календарь</vt:lpstr>
      <vt:lpstr>CAPEX</vt:lpstr>
      <vt:lpstr>Выручка</vt:lpstr>
      <vt:lpstr>OPEX</vt:lpstr>
      <vt:lpstr>Налоги</vt:lpstr>
      <vt:lpstr>Cash Flow</vt:lpstr>
      <vt:lpstr>Финансирование</vt:lpstr>
      <vt:lpstr>Эфф-ть проекта</vt:lpstr>
      <vt:lpstr>Анализ чув-ти</vt:lpstr>
      <vt:lpstr>Лист1</vt:lpstr>
      <vt:lpstr>курс</vt:lpstr>
      <vt:lpstr>период</vt:lpstr>
      <vt:lpstr>период_знач</vt:lpstr>
      <vt:lpstr>период_календ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2025-09-12T04:15:29Z</dcterms:modified>
</cp:coreProperties>
</file>